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ealink\Website tinh luong\"/>
    </mc:Choice>
  </mc:AlternateContent>
  <xr:revisionPtr revIDLastSave="0" documentId="8_{03F7D442-2ECD-4CBE-9396-E056301EE2C9}" xr6:coauthVersionLast="47" xr6:coauthVersionMax="47" xr10:uidLastSave="{00000000-0000-0000-0000-000000000000}"/>
  <bookViews>
    <workbookView xWindow="-108" yWindow="-108" windowWidth="30936" windowHeight="16776" tabRatio="624" xr2:uid="{1C0EB9B3-6FA5-4181-8D49-67DE819FECC0}"/>
  </bookViews>
  <sheets>
    <sheet name="Employee salary" sheetId="5" r:id="rId1"/>
    <sheet name="Bank Transfer" sheetId="19" r:id="rId2"/>
    <sheet name="Sealink Transfer" sheetId="20" state="hidden" r:id="rId3"/>
    <sheet name="Bank list" sheetId="21" state="hidden" r:id="rId4"/>
  </sheets>
  <definedNames>
    <definedName name="_xlnm.Print_Area" localSheetId="0">'Employee salary'!$A$1:$AG$27</definedName>
    <definedName name="_xlnm.Print_Titles" localSheetId="0">'Employee salary'!$7:$9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5" l="1"/>
  <c r="K11" i="5"/>
  <c r="G12" i="5"/>
  <c r="N13" i="5" l="1"/>
  <c r="G15" i="5"/>
  <c r="H11" i="5"/>
  <c r="H12" i="5"/>
  <c r="P11" i="5"/>
  <c r="J12" i="5"/>
  <c r="AH16" i="5"/>
  <c r="G11" i="5"/>
  <c r="D13" i="5"/>
  <c r="D18" i="5" s="1"/>
  <c r="H16" i="5"/>
  <c r="J16" i="5"/>
  <c r="K16" i="5"/>
  <c r="M16" i="5"/>
  <c r="N16" i="5"/>
  <c r="O16" i="5"/>
  <c r="P16" i="5"/>
  <c r="Q16" i="5"/>
  <c r="R16" i="5"/>
  <c r="S16" i="5"/>
  <c r="T16" i="5"/>
  <c r="J11" i="5"/>
  <c r="AF13" i="5"/>
  <c r="AF18" i="5" s="1"/>
  <c r="E8" i="19"/>
  <c r="O13" i="5"/>
  <c r="AH13" i="5"/>
  <c r="AE13" i="5"/>
  <c r="M13" i="5"/>
  <c r="E3" i="19"/>
  <c r="B2" i="19"/>
  <c r="AK8" i="5"/>
  <c r="AO8" i="5"/>
  <c r="E18" i="5"/>
  <c r="F13" i="5"/>
  <c r="I13" i="5"/>
  <c r="I18" i="5" s="1"/>
  <c r="F16" i="5"/>
  <c r="H7" i="19" l="1"/>
  <c r="H6" i="19"/>
  <c r="AA15" i="5"/>
  <c r="AB15" i="5" s="1"/>
  <c r="AC15" i="5" s="1"/>
  <c r="AG15" i="5" s="1"/>
  <c r="AI15" i="5" s="1"/>
  <c r="Z15" i="5"/>
  <c r="N18" i="5"/>
  <c r="N21" i="5" s="1"/>
  <c r="P12" i="5"/>
  <c r="Y12" i="5" s="1"/>
  <c r="M18" i="5"/>
  <c r="AH18" i="5"/>
  <c r="F18" i="5"/>
  <c r="O18" i="5"/>
  <c r="Z11" i="5"/>
  <c r="H13" i="5"/>
  <c r="H18" i="5" s="1"/>
  <c r="Z12" i="5"/>
  <c r="V11" i="5"/>
  <c r="AD11" i="5"/>
  <c r="Y11" i="5"/>
  <c r="W11" i="5"/>
  <c r="R11" i="5"/>
  <c r="Q11" i="5"/>
  <c r="S11" i="5"/>
  <c r="U11" i="5"/>
  <c r="G16" i="5"/>
  <c r="K13" i="5"/>
  <c r="K18" i="5" s="1"/>
  <c r="G13" i="5"/>
  <c r="L13" i="5"/>
  <c r="L18" i="5" s="1"/>
  <c r="J13" i="5"/>
  <c r="J18" i="5" s="1"/>
  <c r="R12" i="5" l="1"/>
  <c r="W12" i="5"/>
  <c r="V12" i="5"/>
  <c r="Z16" i="5"/>
  <c r="S12" i="5"/>
  <c r="U12" i="5"/>
  <c r="AD12" i="5"/>
  <c r="Q12" i="5"/>
  <c r="T11" i="5"/>
  <c r="AA11" i="5" s="1"/>
  <c r="AB11" i="5" s="1"/>
  <c r="AC11" i="5" s="1"/>
  <c r="AG11" i="5" s="1"/>
  <c r="AI11" i="5" s="1"/>
  <c r="C6" i="19" s="1"/>
  <c r="Z13" i="5"/>
  <c r="G18" i="5"/>
  <c r="AG23" i="5" s="1"/>
  <c r="P13" i="5"/>
  <c r="P18" i="5" s="1"/>
  <c r="X11" i="5"/>
  <c r="AA16" i="5"/>
  <c r="T12" i="5" l="1"/>
  <c r="AA12" i="5" s="1"/>
  <c r="AB12" i="5" s="1"/>
  <c r="AC12" i="5" s="1"/>
  <c r="AG12" i="5" s="1"/>
  <c r="AI12" i="5" s="1"/>
  <c r="C7" i="19" s="1"/>
  <c r="Z18" i="5"/>
  <c r="X12" i="5"/>
  <c r="AG24" i="5"/>
  <c r="S13" i="5"/>
  <c r="S18" i="5" s="1"/>
  <c r="W13" i="5"/>
  <c r="W18" i="5" s="1"/>
  <c r="U13" i="5"/>
  <c r="U18" i="5" s="1"/>
  <c r="AD13" i="5"/>
  <c r="AD18" i="5" s="1"/>
  <c r="V13" i="5"/>
  <c r="V18" i="5" s="1"/>
  <c r="AB16" i="5"/>
  <c r="Q13" i="5"/>
  <c r="Q18" i="5" s="1"/>
  <c r="Y13" i="5"/>
  <c r="Y18" i="5" s="1"/>
  <c r="R13" i="5"/>
  <c r="R18" i="5" s="1"/>
  <c r="X13" i="5" l="1"/>
  <c r="X18" i="5" s="1"/>
  <c r="AC16" i="5"/>
  <c r="T13" i="5"/>
  <c r="T18" i="5" s="1"/>
  <c r="AG16" i="5" l="1"/>
  <c r="AA13" i="5"/>
  <c r="AA18" i="5" s="1"/>
  <c r="AB13" i="5" l="1"/>
  <c r="AB18" i="5" s="1"/>
  <c r="AI16" i="5"/>
  <c r="AC13" i="5" l="1"/>
  <c r="AC18" i="5" s="1"/>
  <c r="AG20" i="5" s="1"/>
  <c r="AG25" i="5" s="1"/>
  <c r="AG13" i="5" l="1"/>
  <c r="AG18" i="5" s="1"/>
  <c r="AG21" i="5" s="1"/>
  <c r="AG27" i="5" s="1"/>
  <c r="AG30" i="5" s="1"/>
  <c r="C8" i="19" l="1"/>
  <c r="AI13" i="5"/>
  <c r="AI18" i="5" l="1"/>
  <c r="AI21" i="5"/>
  <c r="AC21" i="5" s="1"/>
  <c r="AC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Sealink VN</author>
    <author>Administrator</author>
    <author>VT</author>
  </authors>
  <commentList>
    <comment ref="G4" authorId="0" shapeId="0" xr:uid="{3989D2EC-0A1E-4F36-AED9-337EDFF6A4C6}">
      <text>
        <r>
          <rPr>
            <sz val="11"/>
            <color indexed="81"/>
            <rFont val="Tahoma"/>
            <family val="2"/>
          </rPr>
          <t xml:space="preserve">Public working days
</t>
        </r>
      </text>
    </comment>
    <comment ref="AJ7" authorId="1" shapeId="0" xr:uid="{51E05EF9-DA7D-4ECC-991D-BD3E9BB70405}">
      <text>
        <r>
          <rPr>
            <b/>
            <sz val="12"/>
            <color indexed="81"/>
            <rFont val="Tahoma"/>
            <family val="2"/>
          </rPr>
          <t>Thay doi 01/07/2023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" authorId="2" shapeId="0" xr:uid="{8371975A-2C33-4FE7-9F79-764DCF874429}">
      <text>
        <r>
          <rPr>
            <sz val="12"/>
            <color indexed="81"/>
            <rFont val="Tahoma"/>
            <family val="2"/>
          </rPr>
          <t>Tach thue neu PC Com &gt; 730.000 (15/10/2016)</t>
        </r>
      </text>
    </comment>
    <comment ref="P11" authorId="1" shapeId="0" xr:uid="{92F48941-705F-4DB9-9FC1-D9580BD63736}">
      <text>
        <r>
          <rPr>
            <sz val="12"/>
            <color indexed="81"/>
            <rFont val="Tahoma"/>
            <family val="2"/>
          </rPr>
          <t>Thay doi tang 9/2024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2" authorId="1" shapeId="0" xr:uid="{FDA2F33F-AAFA-46E5-BEBA-5BA7FA021FDB}">
      <text>
        <r>
          <rPr>
            <sz val="12"/>
            <color indexed="81"/>
            <rFont val="Tahoma"/>
            <family val="2"/>
          </rPr>
          <t>Thay doi tang 10/2024
Nghi Thai san 11/2024-04/2025
Di làm lai 05/2025
Bao tang 10/25</t>
        </r>
      </text>
    </comment>
    <comment ref="AG21" authorId="2" shapeId="0" xr:uid="{27DA6396-CBA7-4B19-9BB6-987B558B564D}">
      <text>
        <r>
          <rPr>
            <sz val="11"/>
            <color indexed="81"/>
            <rFont val="Tahoma"/>
            <family val="2"/>
          </rPr>
          <t>Bank transfer</t>
        </r>
      </text>
    </comment>
    <comment ref="AI21" authorId="2" shapeId="0" xr:uid="{57A10684-8FBD-4188-A9C4-C07B88A41BB0}">
      <text>
        <r>
          <rPr>
            <sz val="11"/>
            <color indexed="81"/>
            <rFont val="Tahoma"/>
            <family val="2"/>
          </rPr>
          <t>Bank transfer</t>
        </r>
      </text>
    </comment>
  </commentList>
</comments>
</file>

<file path=xl/sharedStrings.xml><?xml version="1.0" encoding="utf-8"?>
<sst xmlns="http://schemas.openxmlformats.org/spreadsheetml/2006/main" count="669" uniqueCount="593">
  <si>
    <t>STT</t>
  </si>
  <si>
    <t>BHXH</t>
  </si>
  <si>
    <t>BHYT</t>
  </si>
  <si>
    <t>BHTN</t>
  </si>
  <si>
    <t>VND</t>
  </si>
  <si>
    <t>BẢNG LƯƠNG NHÂN VIÊN/ EMPLOYEE'S PAYROLL</t>
  </si>
  <si>
    <t>THÁNG/MONTH</t>
  </si>
  <si>
    <t>PREPARED BY</t>
  </si>
  <si>
    <t>Trách nhiệm BH</t>
  </si>
  <si>
    <t>TỔNG CỘNG</t>
  </si>
  <si>
    <t>Họ và tên
/Fullname</t>
  </si>
  <si>
    <t xml:space="preserve">THÁNG/MONTH: </t>
  </si>
  <si>
    <t>Mức Lương HĐLĐ</t>
  </si>
  <si>
    <t>Contract salary</t>
  </si>
  <si>
    <t>Vị trí</t>
  </si>
  <si>
    <t>Position</t>
  </si>
  <si>
    <t>dependents</t>
  </si>
  <si>
    <t>Mức lương thực trong tháng</t>
  </si>
  <si>
    <t>Actual salary</t>
  </si>
  <si>
    <t>LẬP BIỂU</t>
  </si>
  <si>
    <t>CHECKED BY</t>
  </si>
  <si>
    <t>PHÊ DUYỆT</t>
  </si>
  <si>
    <t>APPROVED BY</t>
  </si>
  <si>
    <t>Trách nhiệm người lao động
Payments paid by Employee</t>
  </si>
  <si>
    <t>Lương tối thiểu chung</t>
  </si>
  <si>
    <t>Giảm trừ bản thân</t>
  </si>
  <si>
    <t>Khấu trừ trực tiếp (HD thử việc)</t>
  </si>
  <si>
    <t xml:space="preserve"> </t>
  </si>
  <si>
    <t>BANK TRANSFER - PAYROLL</t>
  </si>
  <si>
    <t>Full Name</t>
  </si>
  <si>
    <t>Net Amount</t>
  </si>
  <si>
    <t>Account No.</t>
  </si>
  <si>
    <t>Bank</t>
  </si>
  <si>
    <t>Pro/City</t>
  </si>
  <si>
    <t>Notes</t>
  </si>
  <si>
    <t>HCM</t>
  </si>
  <si>
    <t>Tên đơn vị:</t>
  </si>
  <si>
    <t>Địa chỉ:</t>
  </si>
  <si>
    <t>TPKT:</t>
  </si>
  <si>
    <t>Sub-total</t>
  </si>
  <si>
    <t>Bonus</t>
  </si>
  <si>
    <t>A. NHÂN VIÊN CÓ HỢP ĐỒNG LAO ĐỘNG/ EMPLOYEE WITH LABOR CONTRACT</t>
  </si>
  <si>
    <t>BHYT 1.5%
(Health 
Insu. 1.5%)</t>
  </si>
  <si>
    <t>Phụ cấp / Allowance</t>
  </si>
  <si>
    <t>BHXH 8%
(Social Insu. 8%)</t>
  </si>
  <si>
    <r>
      <t xml:space="preserve">Lương nộp BHXH
</t>
    </r>
    <r>
      <rPr>
        <sz val="15"/>
        <color indexed="8"/>
        <rFont val="Times New Roman"/>
        <family val="1"/>
      </rPr>
      <t>Salary applied for Social insurance</t>
    </r>
  </si>
  <si>
    <r>
      <t xml:space="preserve">Thu nhập tính thuế
</t>
    </r>
    <r>
      <rPr>
        <sz val="15"/>
        <color indexed="8"/>
        <rFont val="Times New Roman"/>
        <family val="1"/>
      </rPr>
      <t>Assesable 
income</t>
    </r>
  </si>
  <si>
    <r>
      <t xml:space="preserve">Thuế thu nhập cá nhân
</t>
    </r>
    <r>
      <rPr>
        <sz val="15"/>
        <color indexed="8"/>
        <rFont val="Times New Roman"/>
        <family val="1"/>
      </rPr>
      <t>Personal income tax (PIT)</t>
    </r>
  </si>
  <si>
    <r>
      <t xml:space="preserve">Lương nhân viên thực nhận
</t>
    </r>
    <r>
      <rPr>
        <sz val="15"/>
        <color indexed="8"/>
        <rFont val="Times New Roman"/>
        <family val="1"/>
      </rPr>
      <t>(NET Salary)</t>
    </r>
  </si>
  <si>
    <t>No</t>
  </si>
  <si>
    <t>Thuế suất
Tax rate</t>
  </si>
  <si>
    <t>Nguyễn Lý Tưởng</t>
  </si>
  <si>
    <t>Lương tối đa đóng BHXH, BHYT</t>
  </si>
  <si>
    <t>Lương tối đa đóng BHTN</t>
  </si>
  <si>
    <t>Khấu trừ khác</t>
  </si>
  <si>
    <t>BHYT 3%
(Health 
Insu. 3%)</t>
  </si>
  <si>
    <t>Phần còn lại chuyển
(Rest Transferred)</t>
  </si>
  <si>
    <t>BHXH 17.5%
(Social Insu. 17.5%)</t>
  </si>
  <si>
    <t>CTY TNHH SEALINK INTERNATIONAL</t>
  </si>
  <si>
    <t>CTY TNHH 100% Vốn nước ngoài</t>
  </si>
  <si>
    <t>MST:</t>
  </si>
  <si>
    <t>Kế toán trưởng</t>
  </si>
  <si>
    <t>Tôn Thất Trung Kiên</t>
  </si>
  <si>
    <t>0317388504</t>
  </si>
  <si>
    <t>TÔN THẤT TRUNG KIÊN</t>
  </si>
  <si>
    <t xml:space="preserve">Đã chuyển, tạm ứng
(Advance payment) </t>
  </si>
  <si>
    <t>Lương tối thiểu vùng</t>
  </si>
  <si>
    <t>Giảm trừ người phụ thuộc</t>
  </si>
  <si>
    <t>Nguyễn Lý Tưởng</t>
  </si>
  <si>
    <t>Đặng Quế Quyên</t>
  </si>
  <si>
    <t>Số phụ thuộc</t>
  </si>
  <si>
    <t>1030518500</t>
  </si>
  <si>
    <t>Vietcombank - CN Tan Dinh</t>
  </si>
  <si>
    <t>stt
(No)</t>
  </si>
  <si>
    <t>so ref 
(ref no)</t>
  </si>
  <si>
    <t>so tai khoan
(beneficiary account)</t>
  </si>
  <si>
    <t>so cmnd
(ID number)</t>
  </si>
  <si>
    <t>ngay cap
(issued date)</t>
  </si>
  <si>
    <t>noi cap
(issued place)</t>
  </si>
  <si>
    <t>ten nguoi huong
(beneficiary name)</t>
  </si>
  <si>
    <t>ten ngan hang
(bank name)</t>
  </si>
  <si>
    <t>so tien
(amount)</t>
  </si>
  <si>
    <t>loai tien
(currency)</t>
  </si>
  <si>
    <t>noi dung
(content)</t>
  </si>
  <si>
    <t>VIETCOMBANK</t>
  </si>
  <si>
    <t>vnd</t>
  </si>
  <si>
    <t>(TECHCOMBANK) Kỹ thương Việt Nam</t>
  </si>
  <si>
    <t>TO TO VAN</t>
  </si>
  <si>
    <t>NGUYEN LY TUONG</t>
  </si>
  <si>
    <t>No.</t>
  </si>
  <si>
    <t>Bank Code</t>
  </si>
  <si>
    <t>Bank Name</t>
  </si>
  <si>
    <t>1</t>
  </si>
  <si>
    <t>01642001</t>
  </si>
  <si>
    <t>TAIPEI FUBONC.B</t>
  </si>
  <si>
    <t>2</t>
  </si>
  <si>
    <t>79632001</t>
  </si>
  <si>
    <t>SINOPAC</t>
  </si>
  <si>
    <t>3</t>
  </si>
  <si>
    <t>79635001</t>
  </si>
  <si>
    <t>MALAYAN BANKING BERHAD - Chi nhánh TP. HCM</t>
  </si>
  <si>
    <t>4</t>
  </si>
  <si>
    <t>79619001</t>
  </si>
  <si>
    <t>DEUTSCHE BANK</t>
  </si>
  <si>
    <t>5</t>
  </si>
  <si>
    <t>79601001</t>
  </si>
  <si>
    <t>BPCE IOM</t>
  </si>
  <si>
    <t>6</t>
  </si>
  <si>
    <t>79614001</t>
  </si>
  <si>
    <t>BNP PARIBAS - Chi nhánh TP.HCM</t>
  </si>
  <si>
    <t>7</t>
  </si>
  <si>
    <t>01657001</t>
  </si>
  <si>
    <t>BNP PARIBAS - Chi nhánh Hà Nội</t>
  </si>
  <si>
    <t>8</t>
  </si>
  <si>
    <t>79637001</t>
  </si>
  <si>
    <t>(WOORI) Woori Bank - Chi nhánh TP.HCM</t>
  </si>
  <si>
    <t>9</t>
  </si>
  <si>
    <t>01663001</t>
  </si>
  <si>
    <t>(WOORI) Woori Bank</t>
  </si>
  <si>
    <t>10</t>
  </si>
  <si>
    <t>01505001</t>
  </si>
  <si>
    <t>(VRB) Liên doanh Việt Nga</t>
  </si>
  <si>
    <t>11</t>
  </si>
  <si>
    <t>01309001</t>
  </si>
  <si>
    <t>(VPBANK) Việt Nam Thịnh Vượng</t>
  </si>
  <si>
    <t>12</t>
  </si>
  <si>
    <t>75504001</t>
  </si>
  <si>
    <t>(VINASIAM) Việt Thái Liên Doanh - Chi nhánh Đồng Nai</t>
  </si>
  <si>
    <t>13</t>
  </si>
  <si>
    <t>01201001</t>
  </si>
  <si>
    <t>(VIETINBANK) Công Thương Việt Nam</t>
  </si>
  <si>
    <t>14</t>
  </si>
  <si>
    <t>79356001</t>
  </si>
  <si>
    <t>(VIETBANK) Việt Nam Thương Tín</t>
  </si>
  <si>
    <t>15</t>
  </si>
  <si>
    <t>79327001</t>
  </si>
  <si>
    <t>(VIET CAPITAL BANK) Bản Việt</t>
  </si>
  <si>
    <t>16</t>
  </si>
  <si>
    <t>01355002</t>
  </si>
  <si>
    <t>(VIET A BANK) Việt Á</t>
  </si>
  <si>
    <t>17</t>
  </si>
  <si>
    <t>79314013</t>
  </si>
  <si>
    <t>(VIB) Quốc tế</t>
  </si>
  <si>
    <t>18</t>
  </si>
  <si>
    <t>01208001</t>
  </si>
  <si>
    <t>(VDB) Phát triển Việt Nam</t>
  </si>
  <si>
    <t>19</t>
  </si>
  <si>
    <t>01207001</t>
  </si>
  <si>
    <t>(VBSP) Chính sách xã hội</t>
  </si>
  <si>
    <t>20</t>
  </si>
  <si>
    <t>79665001</t>
  </si>
  <si>
    <t>(UOB VN) UOB Việt Nam</t>
  </si>
  <si>
    <t>21</t>
  </si>
  <si>
    <t>01358001</t>
  </si>
  <si>
    <t>(TPBANK) Tiên phong</t>
  </si>
  <si>
    <t>22</t>
  </si>
  <si>
    <t>01310005</t>
  </si>
  <si>
    <t>23</t>
  </si>
  <si>
    <t>79651001</t>
  </si>
  <si>
    <t>(TAIPEI FUBON) Taipei Fubon -  Chi nhánh TP. HCM</t>
  </si>
  <si>
    <t>24</t>
  </si>
  <si>
    <t>74655001</t>
  </si>
  <si>
    <t>(TAIPEI FUBON) Taipei Fubon - Chi nhánh Bình Dương</t>
  </si>
  <si>
    <t>25</t>
  </si>
  <si>
    <t>01636001</t>
  </si>
  <si>
    <t>(SMBC) Sumitomo Mitsui Banking Corporation</t>
  </si>
  <si>
    <t>26</t>
  </si>
  <si>
    <t>79616001</t>
  </si>
  <si>
    <t>(SHINHAN) Shinhan Bank Việt Nam</t>
  </si>
  <si>
    <t>27</t>
  </si>
  <si>
    <t>01348002</t>
  </si>
  <si>
    <t>(SHB) Sài Gòn Hà Nội</t>
  </si>
  <si>
    <t>28</t>
  </si>
  <si>
    <t>01317001</t>
  </si>
  <si>
    <t>(SEABANK) Đông Nam Á</t>
  </si>
  <si>
    <t>29</t>
  </si>
  <si>
    <t>75606001</t>
  </si>
  <si>
    <t>(SCSB) Shanghai Commercial &amp; Savings Bank Ltd. - Chi nhánh Đồng Nai</t>
  </si>
  <si>
    <t>30</t>
  </si>
  <si>
    <t>79600001</t>
  </si>
  <si>
    <t>(SCB) The Siam Commercial Bank Public Company Limited – Chi nhánh TP.HCM</t>
  </si>
  <si>
    <t>31</t>
  </si>
  <si>
    <t>79334001</t>
  </si>
  <si>
    <t>(SCB) Sài Gòn</t>
  </si>
  <si>
    <t>32</t>
  </si>
  <si>
    <t>01604002</t>
  </si>
  <si>
    <t>(SC - STANDARD CHARTERED BANK) TNHH Một thành viên Standard Chartered</t>
  </si>
  <si>
    <t>33</t>
  </si>
  <si>
    <t>01308001</t>
  </si>
  <si>
    <t>(SAIGONBANK) Sài Gòn Công Thương</t>
  </si>
  <si>
    <t>34</t>
  </si>
  <si>
    <t>79308001</t>
  </si>
  <si>
    <t>35</t>
  </si>
  <si>
    <t>79303001</t>
  </si>
  <si>
    <t>(SACOMBANK) Sài Gòn thương tín</t>
  </si>
  <si>
    <t>36</t>
  </si>
  <si>
    <t>01360001</t>
  </si>
  <si>
    <t>(PVCOMBANK) Đại chúng</t>
  </si>
  <si>
    <t>37</t>
  </si>
  <si>
    <t>01341001</t>
  </si>
  <si>
    <t>(PGBANK) Xăng Dầu Petrolimex</t>
  </si>
  <si>
    <t>38</t>
  </si>
  <si>
    <t>01501001</t>
  </si>
  <si>
    <t>(PBVN) Ngân hàng TNHH MTV Public Việt Nam</t>
  </si>
  <si>
    <t>39</t>
  </si>
  <si>
    <t>01319001</t>
  </si>
  <si>
    <t>(OCEANBANK) Đại dương</t>
  </si>
  <si>
    <t>40</t>
  </si>
  <si>
    <t>79625001</t>
  </si>
  <si>
    <t>(OCBC) Oversea-Chinese Banking Corporation LTD – Chi nhánh TP.HCM</t>
  </si>
  <si>
    <t>41</t>
  </si>
  <si>
    <t>79333001</t>
  </si>
  <si>
    <t>(OCB) Phương Đông</t>
  </si>
  <si>
    <t>42</t>
  </si>
  <si>
    <t>01662001</t>
  </si>
  <si>
    <t>(NHB) Nonghuyp - Chi nhánh Hà Nội</t>
  </si>
  <si>
    <t>43</t>
  </si>
  <si>
    <t>79352001</t>
  </si>
  <si>
    <t>(NCB) Quốc Dân</t>
  </si>
  <si>
    <t>44</t>
  </si>
  <si>
    <t>79306001</t>
  </si>
  <si>
    <t>(NAM A BANK) Nam Á</t>
  </si>
  <si>
    <t>45</t>
  </si>
  <si>
    <t>01609001</t>
  </si>
  <si>
    <t>(May Bank Hanoi) MALAYAN BANKING BERHAD – Chi nhanh Ha Noi</t>
  </si>
  <si>
    <t>46</t>
  </si>
  <si>
    <t>79622001</t>
  </si>
  <si>
    <t>(MUFG) Mufg Bank, Ltd. – Chi Nhánh TP.HCM</t>
  </si>
  <si>
    <t>47</t>
  </si>
  <si>
    <t>01653001</t>
  </si>
  <si>
    <t>(MUFG) Mufg Bank, Ltd. – Chi Nhánh Hà Nội</t>
  </si>
  <si>
    <t>48</t>
  </si>
  <si>
    <t>01302001</t>
  </si>
  <si>
    <t>(MSB - MARITIME BANK) Hàng Hải</t>
  </si>
  <si>
    <t>49</t>
  </si>
  <si>
    <t>01613001</t>
  </si>
  <si>
    <t>(MIZUHO) Mizuho Corporate Bank, LTD - Chi nhánh Hà Nội</t>
  </si>
  <si>
    <t>50</t>
  </si>
  <si>
    <t>79639001</t>
  </si>
  <si>
    <t>(MIZUHO) Mizuho Corporate Bank, LTD</t>
  </si>
  <si>
    <t>51</t>
  </si>
  <si>
    <t>79623001</t>
  </si>
  <si>
    <t>(MEGA ICBC) Mega International Commercial Bank - Chi nhánh TP.HCM</t>
  </si>
  <si>
    <t>52</t>
  </si>
  <si>
    <t>01311001</t>
  </si>
  <si>
    <t>(MB) Quân Đội</t>
  </si>
  <si>
    <t>53</t>
  </si>
  <si>
    <t>01357001</t>
  </si>
  <si>
    <t>(LIEN VIET POST BANK) Bưu điện Liên Việt</t>
  </si>
  <si>
    <t>54</t>
  </si>
  <si>
    <t>79631001</t>
  </si>
  <si>
    <t>(KOOLMIN) Kookmin - Chi nhánh TP.HCM</t>
  </si>
  <si>
    <t>55</t>
  </si>
  <si>
    <t>91353001</t>
  </si>
  <si>
    <t>(KIEN LONG BANK) Kiên Long</t>
  </si>
  <si>
    <t>56</t>
  </si>
  <si>
    <t>79656001</t>
  </si>
  <si>
    <t>(KEB HANA) KEB Hana - Chi nhánh TP.HCM</t>
  </si>
  <si>
    <t>57</t>
  </si>
  <si>
    <t>01626001</t>
  </si>
  <si>
    <t>(KEB HANA) KEB Hana - Chi nhánh Hà Nội</t>
  </si>
  <si>
    <t>58</t>
  </si>
  <si>
    <t>79627001</t>
  </si>
  <si>
    <t>(J.P.MORGAN) JPMORGAN Chase Bank</t>
  </si>
  <si>
    <t>59</t>
  </si>
  <si>
    <t>79502001</t>
  </si>
  <si>
    <t>(IVB) Trách nhiệm hữu hạn Indovina</t>
  </si>
  <si>
    <t>60</t>
  </si>
  <si>
    <t>01649001</t>
  </si>
  <si>
    <t>(ICBC) Công Thương Trung Quốc</t>
  </si>
  <si>
    <t>61</t>
  </si>
  <si>
    <t>79640001</t>
  </si>
  <si>
    <t>(HUA NAN) Hua Nan - Chi nhánh TP.HCM</t>
  </si>
  <si>
    <t>62</t>
  </si>
  <si>
    <t>79617001</t>
  </si>
  <si>
    <t>(HSBC) Hongkong and Shanghai Bank</t>
  </si>
  <si>
    <t>63</t>
  </si>
  <si>
    <t>01603001</t>
  </si>
  <si>
    <t>(HLBANK) Hong Leong Việt Nam</t>
  </si>
  <si>
    <t>64</t>
  </si>
  <si>
    <t>79321001</t>
  </si>
  <si>
    <t>(HD BANK) Phát triển TP.HCM</t>
  </si>
  <si>
    <t>65</t>
  </si>
  <si>
    <t>01664001</t>
  </si>
  <si>
    <t>(HANOI ABC) Trung Quốc Nông Nghiệp - Chi nhánh Hà Nội</t>
  </si>
  <si>
    <t>66</t>
  </si>
  <si>
    <t>01320001</t>
  </si>
  <si>
    <t>(GPBANK) Dầu khí toàn cầu</t>
  </si>
  <si>
    <t>67</t>
  </si>
  <si>
    <t>79630001</t>
  </si>
  <si>
    <t>(FIRSTBANK) First Commercial Bank - Chi Nhánh TP.HCM</t>
  </si>
  <si>
    <t>68</t>
  </si>
  <si>
    <t>01608001</t>
  </si>
  <si>
    <t>(FIRSTBANK) First Commercial Bank - Chi Nhánh Hà Nội</t>
  </si>
  <si>
    <t>69</t>
  </si>
  <si>
    <t>79305001</t>
  </si>
  <si>
    <t>(EXIMBANK) Xuất Nhập khẩu</t>
  </si>
  <si>
    <t>70</t>
  </si>
  <si>
    <t>75658001</t>
  </si>
  <si>
    <t>(ESB) E.SUN BANK</t>
  </si>
  <si>
    <t>71</t>
  </si>
  <si>
    <t>79304001</t>
  </si>
  <si>
    <t>(DONG A BANK) Đông Á</t>
  </si>
  <si>
    <t>72</t>
  </si>
  <si>
    <t>79668001</t>
  </si>
  <si>
    <t>(DGB DAEGU CN HCM) Daegu - Chi nhánh TP.HCM</t>
  </si>
  <si>
    <t>73</t>
  </si>
  <si>
    <t>79650001</t>
  </si>
  <si>
    <t>(DBS) DBS Bank Ltd – Chi nhánh TP.HCM</t>
  </si>
  <si>
    <t>74</t>
  </si>
  <si>
    <t>49634001</t>
  </si>
  <si>
    <t>(CUBCL) Cathay United Bank - Chi nhánh Chu Lai</t>
  </si>
  <si>
    <t>75</t>
  </si>
  <si>
    <t>79629001</t>
  </si>
  <si>
    <t>(CTBC) Chinatrust</t>
  </si>
  <si>
    <t>76</t>
  </si>
  <si>
    <t>79621001</t>
  </si>
  <si>
    <t>(CREDIT AGRICOLE) Crédit Agricole Corporate And Investment Bank, Chi Nhánh TP.HCM</t>
  </si>
  <si>
    <t>77</t>
  </si>
  <si>
    <t>01901001</t>
  </si>
  <si>
    <t>(CO-OPBANK) Hợp tác xã Việt Nam</t>
  </si>
  <si>
    <t>78</t>
  </si>
  <si>
    <t>01605001</t>
  </si>
  <si>
    <t>(CITIBANK) Citibank Việt Nam - Chi nhánh Hà Nội</t>
  </si>
  <si>
    <t>79</t>
  </si>
  <si>
    <t>79654001</t>
  </si>
  <si>
    <t>(CITIBANK) Citibank Việt Nam</t>
  </si>
  <si>
    <t>80</t>
  </si>
  <si>
    <t>01661001</t>
  </si>
  <si>
    <t>(CIMB) CIMB Bank Việt Nam</t>
  </si>
  <si>
    <t>81</t>
  </si>
  <si>
    <t>79611001</t>
  </si>
  <si>
    <t>(CCB) Xây dựng Trung Quốc</t>
  </si>
  <si>
    <t>82</t>
  </si>
  <si>
    <t>80339001</t>
  </si>
  <si>
    <t>(CBBANK) Ngân hàng Xây dựng</t>
  </si>
  <si>
    <t>83</t>
  </si>
  <si>
    <t>79659001</t>
  </si>
  <si>
    <t>(BOI - BANK OF INDIA) Ngân hàng Ấn Độ</t>
  </si>
  <si>
    <t>84</t>
  </si>
  <si>
    <t>79615001</t>
  </si>
  <si>
    <t>(BOCOM) Bank of Communications Limited</t>
  </si>
  <si>
    <t>85</t>
  </si>
  <si>
    <t>79620001</t>
  </si>
  <si>
    <t>(BOC) BANK OF CHINA (HONG KONG) LIMITED</t>
  </si>
  <si>
    <t>86</t>
  </si>
  <si>
    <t>79660001</t>
  </si>
  <si>
    <t>(BNK) Busan</t>
  </si>
  <si>
    <t>87</t>
  </si>
  <si>
    <t>01202002</t>
  </si>
  <si>
    <t>(BIDV) Đầu tư và phát triển Việt Nam</t>
  </si>
  <si>
    <t>88</t>
  </si>
  <si>
    <t>79648001</t>
  </si>
  <si>
    <t>(BIDC) Ðầu Tư và Phát Triển Campuchia - Chi nhánh TP.HCM</t>
  </si>
  <si>
    <t>89</t>
  </si>
  <si>
    <t>01638001</t>
  </si>
  <si>
    <t>(BIDC) Ðầu Tư và Phát Triển Campuchia - Chi nhánh Hà Nội</t>
  </si>
  <si>
    <t>90</t>
  </si>
  <si>
    <t>01359001</t>
  </si>
  <si>
    <t>(BAO VIET BANK) Bảo Việt</t>
  </si>
  <si>
    <t>91</t>
  </si>
  <si>
    <t>79612001</t>
  </si>
  <si>
    <t>(BANGKOK BANK) Bangkok Bank - Chi nhánh TP.HCM</t>
  </si>
  <si>
    <t>92</t>
  </si>
  <si>
    <t>01667001</t>
  </si>
  <si>
    <t>(BANGKOK BANK) Bangkok Bank - Chi nhánh Hà Nội</t>
  </si>
  <si>
    <t>93</t>
  </si>
  <si>
    <t>01612001</t>
  </si>
  <si>
    <t>94</t>
  </si>
  <si>
    <t>01313007</t>
  </si>
  <si>
    <t>(BAC A) Bắc Á</t>
  </si>
  <si>
    <t>95</t>
  </si>
  <si>
    <t>01602002</t>
  </si>
  <si>
    <t>(ANZ) TNHH Một Thành Viên ANZ Việt Nam</t>
  </si>
  <si>
    <t>96</t>
  </si>
  <si>
    <t>01204001</t>
  </si>
  <si>
    <t>(AGRIBANK) Nông nghiệp và phát triển nông thôn Việt Nam</t>
  </si>
  <si>
    <t>97</t>
  </si>
  <si>
    <t>79307001</t>
  </si>
  <si>
    <t>(ACB) Á Châu</t>
  </si>
  <si>
    <t>98</t>
  </si>
  <si>
    <t>01323002</t>
  </si>
  <si>
    <t>(ABBANK) An Bình</t>
  </si>
  <si>
    <t>99</t>
  </si>
  <si>
    <t>79323001</t>
  </si>
  <si>
    <t>100</t>
  </si>
  <si>
    <t>89308001</t>
  </si>
  <si>
    <t>NHTMCP Sai Gon Cong Thuong - CN An Giang</t>
  </si>
  <si>
    <t>101</t>
  </si>
  <si>
    <t>74501001</t>
  </si>
  <si>
    <t>NH TNHH MTV Public VN-CN Binh Duong</t>
  </si>
  <si>
    <t>102</t>
  </si>
  <si>
    <t>74603001</t>
  </si>
  <si>
    <t>NH TNHH MTV Hong Leong CN Binh Duong</t>
  </si>
  <si>
    <t>103</t>
  </si>
  <si>
    <t>74308001</t>
  </si>
  <si>
    <t>NHTMCP Sai Gon Cong Thuong - CN Binh Duong</t>
  </si>
  <si>
    <t>104</t>
  </si>
  <si>
    <t>95308001</t>
  </si>
  <si>
    <t>NHTMCP Sai Gon Cong Thuong - CN Bac Lieu</t>
  </si>
  <si>
    <t>105</t>
  </si>
  <si>
    <t>60308001</t>
  </si>
  <si>
    <t>NHTMCP Sai Gon Cong Thuong CN Binh Thuan</t>
  </si>
  <si>
    <t>106</t>
  </si>
  <si>
    <t>96308001</t>
  </si>
  <si>
    <t>NHTMCP Sai Gon Cong Thuong CNCaMau</t>
  </si>
  <si>
    <t>107</t>
  </si>
  <si>
    <t>92308001</t>
  </si>
  <si>
    <t>NHTMCP Sai Gon Cong Thuong -CN Can Tho</t>
  </si>
  <si>
    <t>108</t>
  </si>
  <si>
    <t>92308002</t>
  </si>
  <si>
    <t>NHTMCP Sai Gon Cong Thuong - CN Thot Not</t>
  </si>
  <si>
    <t>109</t>
  </si>
  <si>
    <t>48501001</t>
  </si>
  <si>
    <t>NH TNHH MTV Public VN-CN Da Nang</t>
  </si>
  <si>
    <t>110</t>
  </si>
  <si>
    <t>48308001</t>
  </si>
  <si>
    <t>NHTMCP Sai Gon Cong Thuong - CN Da Nang</t>
  </si>
  <si>
    <t>111</t>
  </si>
  <si>
    <t>66308001</t>
  </si>
  <si>
    <t>NHTMCP Sai Gon Cong Thuong CN DakLak</t>
  </si>
  <si>
    <t>112</t>
  </si>
  <si>
    <t>75501001</t>
  </si>
  <si>
    <t>NH TNHH MTV Public VN-CN Dong Nai</t>
  </si>
  <si>
    <t>113</t>
  </si>
  <si>
    <t>75308001</t>
  </si>
  <si>
    <t>NHTMCP Sai Gon Cong Thuong - CN Dong Nai</t>
  </si>
  <si>
    <t>114</t>
  </si>
  <si>
    <t>BANK OF CHINA</t>
  </si>
  <si>
    <t>115</t>
  </si>
  <si>
    <t>Ngan hang Thuong mai TNHH E Sun, CN Dong Nai</t>
  </si>
  <si>
    <t>116</t>
  </si>
  <si>
    <t>BPCE IOM Chi nhanh TP HCM</t>
  </si>
  <si>
    <t>117</t>
  </si>
  <si>
    <t>NH Citibank N.A., TP HCM (HO)</t>
  </si>
  <si>
    <t>118</t>
  </si>
  <si>
    <t>BNP PARIBAS CN TP HCM</t>
  </si>
  <si>
    <t>119</t>
  </si>
  <si>
    <t>The Chase Manhattan Bank CN Tp. HCM</t>
  </si>
  <si>
    <t>120</t>
  </si>
  <si>
    <t>79308007</t>
  </si>
  <si>
    <t>NHTMCP Sai Gon Cong Thuong - CN Tan Phu</t>
  </si>
  <si>
    <t>121</t>
  </si>
  <si>
    <t>79308008</t>
  </si>
  <si>
    <t>NHTMCP Sai Gon Cong Thuong - CN Binh Hoa</t>
  </si>
  <si>
    <t>122</t>
  </si>
  <si>
    <t>79308010</t>
  </si>
  <si>
    <t>NHTMCP Sai Gon Cong Thuong - CN Tan Binh</t>
  </si>
  <si>
    <t>123</t>
  </si>
  <si>
    <t>79308012</t>
  </si>
  <si>
    <t>NHTMCP Sai Gon Cong Thuong Khanh Hoi</t>
  </si>
  <si>
    <t>124</t>
  </si>
  <si>
    <t>NH SINOPAC CHI NHANH HCM</t>
  </si>
  <si>
    <t>125</t>
  </si>
  <si>
    <t>79636001</t>
  </si>
  <si>
    <t>NH SUMITOMO MITSUI BANKING CORPORATION CN TPHCM</t>
  </si>
  <si>
    <t>126</t>
  </si>
  <si>
    <t>Ngan hang Mizuho Bank Ltd CN TP Ho Chi Minh</t>
  </si>
  <si>
    <t>127</t>
  </si>
  <si>
    <t>79308002</t>
  </si>
  <si>
    <t>NHTMCP Sai Gon Cong Thuong - CN Cho Lon</t>
  </si>
  <si>
    <t>128</t>
  </si>
  <si>
    <t>79308003</t>
  </si>
  <si>
    <t>NHTMCP Sai Gon Cong Thuong - CN Tan Dinh</t>
  </si>
  <si>
    <t>129</t>
  </si>
  <si>
    <t>79308011</t>
  </si>
  <si>
    <t>NHTPCP Sai Gon Cong Thuong - CN 3 thang 2</t>
  </si>
  <si>
    <t>130</t>
  </si>
  <si>
    <t>79501001</t>
  </si>
  <si>
    <t>NH TNHH MTV Public VN- HCM</t>
  </si>
  <si>
    <t>131</t>
  </si>
  <si>
    <t>79501002</t>
  </si>
  <si>
    <t>NH TNHH MTV Public VN-CN Cho Lon</t>
  </si>
  <si>
    <t>132</t>
  </si>
  <si>
    <t>79603001</t>
  </si>
  <si>
    <t>NH TNHH MTV Hong Leong VN</t>
  </si>
  <si>
    <t>133</t>
  </si>
  <si>
    <t>79603002</t>
  </si>
  <si>
    <t>NH TNHH MTV Hong Leong SGD</t>
  </si>
  <si>
    <t>134</t>
  </si>
  <si>
    <t>NH China Construction Bank Corporation CN HCM</t>
  </si>
  <si>
    <t>135</t>
  </si>
  <si>
    <t>NH TNHH CTBC CN TPHCM</t>
  </si>
  <si>
    <t>136</t>
  </si>
  <si>
    <t>NHTMCP Sai Gon Cong Thuong - Hoi So</t>
  </si>
  <si>
    <t>137</t>
  </si>
  <si>
    <t>79308004</t>
  </si>
  <si>
    <t>NHTMCP Sai Gon Cong Thuong - CN Ben Nge</t>
  </si>
  <si>
    <t>138</t>
  </si>
  <si>
    <t>79308005</t>
  </si>
  <si>
    <t>NHTMCP Sai Gon Cong Thuong - CN Binh Chanh</t>
  </si>
  <si>
    <t>139</t>
  </si>
  <si>
    <t>79308009</t>
  </si>
  <si>
    <t>NHTMCP Sai Gon Cong Thuong - CN Ba Chieu</t>
  </si>
  <si>
    <t>140</t>
  </si>
  <si>
    <t>NH Bank of Communications Co., Ltd HCM</t>
  </si>
  <si>
    <t>141</t>
  </si>
  <si>
    <t>142</t>
  </si>
  <si>
    <t>Ngan hang BANK OF INDIA Chi nhanh TP HCM</t>
  </si>
  <si>
    <t>143</t>
  </si>
  <si>
    <t>01308002</t>
  </si>
  <si>
    <t>NHTMCP Sai Gon Cong Thuong - CN Long Bien</t>
  </si>
  <si>
    <t>144</t>
  </si>
  <si>
    <t>NHTM Taipei Fubon CN HN (CHINFON BANK)</t>
  </si>
  <si>
    <t>145</t>
  </si>
  <si>
    <t>01501002</t>
  </si>
  <si>
    <t>NH TNHH MTV Public VN-SGD</t>
  </si>
  <si>
    <t>146</t>
  </si>
  <si>
    <t>NH TNHH MTV Hong Leong Ha Noi</t>
  </si>
  <si>
    <t>147</t>
  </si>
  <si>
    <t>Citi Bank</t>
  </si>
  <si>
    <t>148</t>
  </si>
  <si>
    <t>NH SUMITOMO MITSUI BANKING CORPORATION CN Ha Noi</t>
  </si>
  <si>
    <t>149</t>
  </si>
  <si>
    <t>NH Industrial and Commercial Bank of China - CN Ha Noi</t>
  </si>
  <si>
    <t>150</t>
  </si>
  <si>
    <t>NHTMCP Sai Gon Cong Thuong - CN Ha Noi</t>
  </si>
  <si>
    <t>151</t>
  </si>
  <si>
    <t>01308005</t>
  </si>
  <si>
    <t>NHTMCP Sai Gon Cong Thuong - CN Hoan Kiem</t>
  </si>
  <si>
    <t>152</t>
  </si>
  <si>
    <t>NH TNHH MTV Public VN- Hoi so</t>
  </si>
  <si>
    <t>153</t>
  </si>
  <si>
    <t>NH First Commercial Bank Ltd CN TP Ha Noi</t>
  </si>
  <si>
    <t>154</t>
  </si>
  <si>
    <t>NH Mizuho Bank Ltd., CN Ha Noi</t>
  </si>
  <si>
    <t>155</t>
  </si>
  <si>
    <t>01308003</t>
  </si>
  <si>
    <t>NHTMCP Sai Gon Cong Thuong - CN Cau Giay</t>
  </si>
  <si>
    <t>156</t>
  </si>
  <si>
    <t>01308004</t>
  </si>
  <si>
    <t>NHTMCP Sai Gon Cong Thuong - CN Dong Da</t>
  </si>
  <si>
    <t>157</t>
  </si>
  <si>
    <t>01308006</t>
  </si>
  <si>
    <t>NHTMCP Sai Gon Cong Thuong - CN Ba Dinh</t>
  </si>
  <si>
    <t>158</t>
  </si>
  <si>
    <t>31501001</t>
  </si>
  <si>
    <t>NH TNHH MTV Public VN-CN Hai Phong</t>
  </si>
  <si>
    <t>159</t>
  </si>
  <si>
    <t>31308001</t>
  </si>
  <si>
    <t>NHTMCP Sai Gon Cong Thuong - CN Hai Phong</t>
  </si>
  <si>
    <t>160</t>
  </si>
  <si>
    <t>10308001</t>
  </si>
  <si>
    <t>NHTMCP Sai Gon Cong Thuong CN Lao Cai</t>
  </si>
  <si>
    <t>161</t>
  </si>
  <si>
    <t>22308001</t>
  </si>
  <si>
    <t>NHTMCP Sai Gon Cong Thuong - CN Quang Ninh</t>
  </si>
  <si>
    <t>162</t>
  </si>
  <si>
    <t>94308001</t>
  </si>
  <si>
    <t>NHTMCP Sai Gon Cong Thuong-CN Soc Trang</t>
  </si>
  <si>
    <t>163</t>
  </si>
  <si>
    <t>79308006</t>
  </si>
  <si>
    <t>NHTMCP Sai Gon Cong Thuong - CN Thai Binh</t>
  </si>
  <si>
    <t>164</t>
  </si>
  <si>
    <t>82308001</t>
  </si>
  <si>
    <t>NHTMCP Sai Gon Cong Thuong CN Tien Giang</t>
  </si>
  <si>
    <t>165</t>
  </si>
  <si>
    <t>46308001</t>
  </si>
  <si>
    <t>NHTMCP Sai Gon Cong Thuong - CN Hue</t>
  </si>
  <si>
    <t>DANG QUE QUYEN</t>
  </si>
  <si>
    <t>0331000510942</t>
  </si>
  <si>
    <t>NGUYEN THI NHU</t>
  </si>
  <si>
    <t>payroll 08-22</t>
  </si>
  <si>
    <t>Trách nhiệm người sử dụng lao động
Payments paid by Employer</t>
  </si>
  <si>
    <r>
      <t xml:space="preserve">Tổng thu nhập trả cho cá nhân
(Chịu thuế) </t>
    </r>
    <r>
      <rPr>
        <sz val="15"/>
        <color indexed="8"/>
        <rFont val="Times New Roman"/>
        <family val="1"/>
      </rPr>
      <t>Total income paid to personal
(Taxable)</t>
    </r>
  </si>
  <si>
    <r>
      <t xml:space="preserve">Tổng BH
</t>
    </r>
    <r>
      <rPr>
        <sz val="15"/>
        <color indexed="8"/>
        <rFont val="Times New Roman"/>
        <family val="1"/>
      </rPr>
      <t>(Insurance amount)</t>
    </r>
  </si>
  <si>
    <t>BHTN 1%
(Unemploy. Insu. 1%)</t>
  </si>
  <si>
    <r>
      <t xml:space="preserve">Tổng chuyển
</t>
    </r>
    <r>
      <rPr>
        <sz val="15"/>
        <color indexed="8"/>
        <rFont val="Times New Roman"/>
        <family val="1"/>
      </rPr>
      <t>(Transfer)</t>
    </r>
  </si>
  <si>
    <r>
      <t xml:space="preserve">Phụ cấp xăng xe tính thuế/ </t>
    </r>
    <r>
      <rPr>
        <sz val="15"/>
        <color indexed="8"/>
        <rFont val="Times New Roman"/>
        <family val="1"/>
      </rPr>
      <t>Taxable transport allowance</t>
    </r>
  </si>
  <si>
    <r>
      <t xml:space="preserve">Phụ cấp điện thoại miển thuế/ </t>
    </r>
    <r>
      <rPr>
        <sz val="15"/>
        <color indexed="8"/>
        <rFont val="Times New Roman"/>
        <family val="1"/>
      </rPr>
      <t>Allowance telephone tax free</t>
    </r>
  </si>
  <si>
    <r>
      <t xml:space="preserve">Phụ cấp cơm có thuế / </t>
    </r>
    <r>
      <rPr>
        <sz val="15"/>
        <color indexed="8"/>
        <rFont val="Times New Roman"/>
        <family val="1"/>
      </rPr>
      <t>Taxable meal allowance</t>
    </r>
  </si>
  <si>
    <r>
      <t xml:space="preserve">Khác/ </t>
    </r>
    <r>
      <rPr>
        <sz val="15"/>
        <color indexed="8"/>
        <rFont val="Times New Roman"/>
        <family val="1"/>
      </rPr>
      <t>Other</t>
    </r>
  </si>
  <si>
    <r>
      <rPr>
        <b/>
        <sz val="11"/>
        <color indexed="8"/>
        <rFont val="Times New Roman"/>
        <family val="1"/>
      </rPr>
      <t>Ngày công thực tế</t>
    </r>
    <r>
      <rPr>
        <sz val="11"/>
        <color indexed="8"/>
        <rFont val="Times New Roman"/>
        <family val="1"/>
      </rPr>
      <t xml:space="preserve"> / Actual working day</t>
    </r>
  </si>
  <si>
    <t>0251001688536</t>
  </si>
  <si>
    <t>1030669566</t>
  </si>
  <si>
    <t>Vietcombank - CN Sai gon</t>
  </si>
  <si>
    <t>Lương tháng</t>
  </si>
  <si>
    <r>
      <t xml:space="preserve">Kinh phí công đoàn 2% </t>
    </r>
    <r>
      <rPr>
        <sz val="15"/>
        <color indexed="8"/>
        <rFont val="Times New Roman"/>
        <family val="1"/>
      </rPr>
      <t>(Union funds 2%)</t>
    </r>
  </si>
  <si>
    <t>KIỂM TRA</t>
  </si>
  <si>
    <t>BHTN 1%
(Unemploy. Insu. 0%)</t>
  </si>
  <si>
    <t>NV chứng từ</t>
  </si>
  <si>
    <t>Hoàn thuế PIT 2023
Refund PIT 2023</t>
  </si>
  <si>
    <t>B. NHÂN VIÊN THỬ VIỆC + HỌC VIỆC / PROBATIONARY+ APPRENTICE STAFF - THUẾ 10%</t>
  </si>
  <si>
    <r>
      <t xml:space="preserve">Phụ cấp hiệu quả công việc tính thuế / </t>
    </r>
    <r>
      <rPr>
        <sz val="15"/>
        <color indexed="8"/>
        <rFont val="Times New Roman"/>
        <family val="1"/>
      </rPr>
      <t>Taxable Performance allowance</t>
    </r>
  </si>
  <si>
    <t>Thử việc</t>
  </si>
  <si>
    <t>Tầng 4, CC Copac Squre, Số 12 Tôn Đản, P.13, Q.4, TP.HCM</t>
  </si>
  <si>
    <t>Hồ Đăng Nhật</t>
  </si>
  <si>
    <r>
      <t xml:space="preserve">Đoàn Phí 0.5%
</t>
    </r>
    <r>
      <rPr>
        <sz val="15"/>
        <color indexed="10"/>
        <rFont val="Times New Roman"/>
        <family val="1"/>
      </rPr>
      <t>(Union fee</t>
    </r>
    <r>
      <rPr>
        <b/>
        <sz val="15"/>
        <color indexed="10"/>
        <rFont val="Times New Roman"/>
        <family val="1"/>
      </rPr>
      <t xml:space="preserve">
</t>
    </r>
    <r>
      <rPr>
        <sz val="15"/>
        <color indexed="10"/>
        <rFont val="Times New Roman"/>
        <family val="1"/>
      </rPr>
      <t>0.5%)</t>
    </r>
  </si>
  <si>
    <r>
      <t xml:space="preserve">Phụ cấp cơm trưa miển thuế/ </t>
    </r>
    <r>
      <rPr>
        <sz val="15"/>
        <color indexed="8"/>
        <rFont val="Times New Roman"/>
        <family val="1"/>
      </rPr>
      <t>Allowance meal tax free</t>
    </r>
  </si>
  <si>
    <t>2026</t>
  </si>
  <si>
    <t>Lương tháng 14 năm 2025 /Bonus Salary (50%)</t>
  </si>
  <si>
    <t>05</t>
  </si>
  <si>
    <t>TP.HCM, Ngày  25 tháng  05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</si>
</sst>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(* #,##0_);_(* \(#,##0\);_(* &quot;-&quot;_);_(@_)"/>
    <numFmt numFmtId="43" formatCode="_(* #,##0.00_);_(* \(#,##0.00\);_(* &quot;-&quot;??_);_(@_)"/>
    <numFmt numFmtId="164" formatCode="&quot;Thaùng &quot;mm&quot; naêm &quot;yyyy"/>
    <numFmt numFmtId="165" formatCode="_(* #,##0_);[Red]\(\-#,##0\);_(* &quot;-&quot;??_);_(@_)"/>
    <numFmt numFmtId="166" formatCode="_(* #,##0_);_(* \(#,##0\);_(* &quot;-&quot;??_);_(@_)"/>
    <numFmt numFmtId="167" formatCode="0.0%"/>
    <numFmt numFmtId="168" formatCode="_-* #,##0_-;\-* #,##0_-;_-* &quot;-&quot;_-;_-@_-"/>
    <numFmt numFmtId="169" formatCode="_-* #,##0.00_-;\-* #,##0.00_-;_-* &quot;-&quot;??_-;_-@_-"/>
    <numFmt numFmtId="170" formatCode="#,##0\ &quot;DM&quot;;\-#,##0\ &quot;DM&quot;"/>
    <numFmt numFmtId="171" formatCode="0.000%"/>
    <numFmt numFmtId="172" formatCode="&quot;￥&quot;#,##0;&quot;￥&quot;\-#,##0"/>
    <numFmt numFmtId="173" formatCode="00.000"/>
    <numFmt numFmtId="174" formatCode="_-&quot;$&quot;* #,##0_-;\-&quot;$&quot;* #,##0_-;_-&quot;$&quot;* &quot;-&quot;_-;_-@_-"/>
    <numFmt numFmtId="175" formatCode="_-&quot;$&quot;* #,##0.00_-;\-&quot;$&quot;* #,##0.00_-;_-&quot;$&quot;* &quot;-&quot;??_-;_-@_-"/>
    <numFmt numFmtId="176" formatCode="\-"/>
    <numFmt numFmtId="177" formatCode="#,##0.0"/>
  </numFmts>
  <fonts count="83">
    <font>
      <sz val="10"/>
      <name val="VNI-Times"/>
    </font>
    <font>
      <sz val="11"/>
      <color indexed="8"/>
      <name val="Calibri"/>
      <family val="2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sz val="11"/>
      <name val="ＭＳ Ｐゴシック"/>
      <charset val="128"/>
    </font>
    <font>
      <sz val="9"/>
      <color indexed="8"/>
      <name val="Cambria"/>
      <family val="2"/>
    </font>
    <font>
      <b/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2"/>
      <name val="新細明體"/>
      <charset val="136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name val="돋움"/>
      <family val="3"/>
    </font>
    <font>
      <sz val="10"/>
      <name val="굴림체"/>
      <family val="3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8"/>
      <name val="VNI-Times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1.5"/>
      <name val="Times New Roman"/>
      <family val="1"/>
    </font>
    <font>
      <sz val="11.5"/>
      <name val="Times New Roman"/>
      <family val="1"/>
    </font>
    <font>
      <sz val="12"/>
      <name val="Times New Roman"/>
      <family val="1"/>
    </font>
    <font>
      <b/>
      <sz val="15"/>
      <name val="Times New Roman"/>
      <family val="1"/>
    </font>
    <font>
      <b/>
      <sz val="11"/>
      <color indexed="8"/>
      <name val="Times New Roman"/>
      <family val="1"/>
    </font>
    <font>
      <b/>
      <sz val="15"/>
      <color indexed="8"/>
      <name val="Times New Roman"/>
      <family val="1"/>
    </font>
    <font>
      <sz val="11"/>
      <color indexed="8"/>
      <name val="Times New Roman"/>
      <family val="1"/>
    </font>
    <font>
      <sz val="15"/>
      <color indexed="8"/>
      <name val="Times New Roman"/>
      <family val="1"/>
    </font>
    <font>
      <sz val="15"/>
      <name val="Times New Roman"/>
      <family val="1"/>
    </font>
    <font>
      <sz val="11"/>
      <color indexed="81"/>
      <name val="Tahoma"/>
      <family val="2"/>
    </font>
    <font>
      <b/>
      <sz val="15"/>
      <color indexed="10"/>
      <name val="Times New Roman"/>
      <family val="1"/>
    </font>
    <font>
      <sz val="15"/>
      <color indexed="10"/>
      <name val="Times New Roman"/>
      <family val="1"/>
    </font>
    <font>
      <sz val="12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63"/>
      <scheme val="minor"/>
    </font>
    <font>
      <sz val="9"/>
      <color theme="1"/>
      <name val="Cambria"/>
      <family val="2"/>
      <scheme val="maj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rgb="FF222222"/>
      <name val="Times New Roman"/>
      <family val="1"/>
    </font>
    <font>
      <sz val="15"/>
      <color rgb="FF00B0F0"/>
      <name val="Times New Roman"/>
      <family val="1"/>
    </font>
    <font>
      <sz val="15"/>
      <color theme="0"/>
      <name val="Times New Roman"/>
      <family val="1"/>
    </font>
    <font>
      <sz val="15"/>
      <color rgb="FFC00000"/>
      <name val="Times New Roman"/>
      <family val="1"/>
    </font>
    <font>
      <sz val="12"/>
      <color rgb="FF00B050"/>
      <name val="Times New Roman"/>
      <family val="1"/>
    </font>
    <font>
      <b/>
      <sz val="15"/>
      <color rgb="FFC00000"/>
      <name val="Times New Roman"/>
      <family val="1"/>
    </font>
    <font>
      <b/>
      <sz val="15"/>
      <color rgb="FF0070C0"/>
      <name val="Times New Roman"/>
      <family val="1"/>
    </font>
    <font>
      <sz val="15"/>
      <color rgb="FF0070C0"/>
      <name val="Times New Roman"/>
      <family val="1"/>
    </font>
    <font>
      <b/>
      <sz val="15"/>
      <color rgb="FF00B05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1"/>
      <name val="Calibri"/>
      <family val="2"/>
      <scheme val="minor"/>
    </font>
    <font>
      <sz val="15"/>
      <color rgb="FF00B050"/>
      <name val="Times New Roman"/>
      <family val="1"/>
    </font>
    <font>
      <b/>
      <sz val="15"/>
      <color rgb="FF7030A0"/>
      <name val="Times New Roman"/>
      <family val="1"/>
    </font>
    <font>
      <sz val="15"/>
      <color rgb="FF7030A0"/>
      <name val="Times New Roman"/>
      <family val="1"/>
    </font>
    <font>
      <sz val="11"/>
      <color rgb="FFFF0000"/>
      <name val="Times New Roman"/>
      <family val="1"/>
    </font>
    <font>
      <b/>
      <sz val="10"/>
      <color rgb="FF0070C0"/>
      <name val="Times New Roman"/>
      <family val="1"/>
    </font>
    <font>
      <sz val="15"/>
      <color theme="5" tint="-0.249977111117893"/>
      <name val="Times New Roman"/>
      <family val="1"/>
    </font>
    <font>
      <b/>
      <sz val="15"/>
      <color theme="0"/>
      <name val="Times New Roman"/>
      <family val="1"/>
    </font>
    <font>
      <b/>
      <sz val="15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00B0F0"/>
      <name val="Times New Roman"/>
      <family val="1"/>
    </font>
    <font>
      <sz val="13"/>
      <color theme="1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3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/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4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95">
    <xf numFmtId="0" fontId="0" fillId="0" borderId="0"/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51" fillId="0" borderId="0" applyFont="0" applyFill="0" applyBorder="0" applyAlignment="0" applyProtection="0"/>
    <xf numFmtId="40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0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10" fillId="0" borderId="3" applyNumberFormat="0" applyAlignment="0" applyProtection="0">
      <alignment horizontal="left" vertical="center"/>
    </xf>
    <xf numFmtId="0" fontId="10" fillId="0" borderId="4">
      <alignment horizontal="left" vertical="center"/>
    </xf>
    <xf numFmtId="0" fontId="51" fillId="0" borderId="0"/>
    <xf numFmtId="0" fontId="53" fillId="0" borderId="0"/>
    <xf numFmtId="0" fontId="51" fillId="0" borderId="0"/>
    <xf numFmtId="0" fontId="8" fillId="0" borderId="0"/>
    <xf numFmtId="0" fontId="54" fillId="0" borderId="0"/>
    <xf numFmtId="0" fontId="55" fillId="0" borderId="0"/>
    <xf numFmtId="0" fontId="6" fillId="0" borderId="0"/>
    <xf numFmtId="0" fontId="7" fillId="0" borderId="0"/>
    <xf numFmtId="0" fontId="7" fillId="0" borderId="0" applyAlignment="0">
      <alignment vertical="top" wrapText="1"/>
      <protection locked="0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1" borderId="2" applyNumberFormat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" fillId="23" borderId="9" applyNumberFormat="0" applyFon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170" fontId="21" fillId="0" borderId="0" applyFont="0" applyFill="0" applyBorder="0" applyAlignment="0" applyProtection="0"/>
    <xf numFmtId="171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173" fontId="21" fillId="0" borderId="0" applyFont="0" applyFill="0" applyBorder="0" applyAlignment="0" applyProtection="0"/>
    <xf numFmtId="0" fontId="22" fillId="0" borderId="0"/>
    <xf numFmtId="0" fontId="18" fillId="0" borderId="0"/>
    <xf numFmtId="0" fontId="19" fillId="7" borderId="1" applyNumberFormat="0" applyAlignment="0" applyProtection="0">
      <alignment vertical="center"/>
    </xf>
    <xf numFmtId="0" fontId="20" fillId="20" borderId="10" applyNumberFormat="0" applyAlignment="0" applyProtection="0">
      <alignment vertical="center"/>
    </xf>
    <xf numFmtId="168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23" fillId="3" borderId="0" applyNumberFormat="0" applyBorder="0" applyAlignment="0" applyProtection="0">
      <alignment vertical="center"/>
    </xf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0" fontId="7" fillId="0" borderId="0"/>
    <xf numFmtId="0" fontId="24" fillId="4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1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7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31" fillId="0" borderId="11" applyNumberFormat="0" applyFill="0" applyAlignment="0" applyProtection="0">
      <alignment vertical="center"/>
    </xf>
  </cellStyleXfs>
  <cellXfs count="214">
    <xf numFmtId="0" fontId="0" fillId="0" borderId="0" xfId="0"/>
    <xf numFmtId="0" fontId="38" fillId="24" borderId="0" xfId="0" applyFont="1" applyFill="1" applyAlignment="1">
      <alignment vertical="center"/>
    </xf>
    <xf numFmtId="0" fontId="40" fillId="24" borderId="0" xfId="52" applyFont="1" applyFill="1" applyAlignment="1">
      <alignment wrapText="1"/>
    </xf>
    <xf numFmtId="0" fontId="33" fillId="24" borderId="0" xfId="0" applyFont="1" applyFill="1" applyAlignment="1">
      <alignment vertical="center"/>
    </xf>
    <xf numFmtId="0" fontId="36" fillId="24" borderId="0" xfId="0" applyFont="1" applyFill="1" applyAlignment="1">
      <alignment vertical="center"/>
    </xf>
    <xf numFmtId="1" fontId="38" fillId="24" borderId="0" xfId="0" applyNumberFormat="1" applyFont="1" applyFill="1" applyAlignment="1">
      <alignment vertical="center"/>
    </xf>
    <xf numFmtId="2" fontId="2" fillId="24" borderId="0" xfId="0" applyNumberFormat="1" applyFont="1" applyFill="1" applyAlignment="1">
      <alignment vertical="center"/>
    </xf>
    <xf numFmtId="2" fontId="38" fillId="24" borderId="0" xfId="0" applyNumberFormat="1" applyFont="1" applyFill="1" applyAlignment="1">
      <alignment vertical="center"/>
    </xf>
    <xf numFmtId="3" fontId="37" fillId="24" borderId="0" xfId="0" applyNumberFormat="1" applyFont="1" applyFill="1" applyAlignment="1">
      <alignment vertical="center"/>
    </xf>
    <xf numFmtId="37" fontId="37" fillId="24" borderId="0" xfId="0" applyNumberFormat="1" applyFont="1" applyFill="1" applyAlignment="1">
      <alignment vertical="center"/>
    </xf>
    <xf numFmtId="3" fontId="38" fillId="0" borderId="12" xfId="0" applyNumberFormat="1" applyFont="1" applyBorder="1"/>
    <xf numFmtId="0" fontId="37" fillId="0" borderId="12" xfId="0" applyFont="1" applyBorder="1"/>
    <xf numFmtId="0" fontId="38" fillId="0" borderId="12" xfId="0" applyFont="1" applyBorder="1" applyAlignment="1">
      <alignment vertical="center"/>
    </xf>
    <xf numFmtId="0" fontId="37" fillId="24" borderId="0" xfId="0" applyFont="1" applyFill="1" applyAlignment="1">
      <alignment horizontal="center" vertical="center"/>
    </xf>
    <xf numFmtId="3" fontId="56" fillId="0" borderId="12" xfId="0" applyNumberFormat="1" applyFont="1" applyBorder="1" applyAlignment="1">
      <alignment horizontal="right" vertical="center" wrapText="1"/>
    </xf>
    <xf numFmtId="0" fontId="57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56" fillId="0" borderId="0" xfId="0" applyFont="1" applyAlignment="1">
      <alignment vertical="center"/>
    </xf>
    <xf numFmtId="0" fontId="56" fillId="0" borderId="0" xfId="0" applyFont="1" applyAlignment="1">
      <alignment horizontal="right" vertical="center"/>
    </xf>
    <xf numFmtId="0" fontId="57" fillId="0" borderId="0" xfId="0" applyFont="1" applyAlignment="1">
      <alignment horizontal="right" vertical="center"/>
    </xf>
    <xf numFmtId="0" fontId="57" fillId="0" borderId="0" xfId="0" applyFont="1" applyAlignment="1">
      <alignment vertical="center"/>
    </xf>
    <xf numFmtId="164" fontId="56" fillId="0" borderId="0" xfId="0" applyNumberFormat="1" applyFont="1" applyAlignment="1">
      <alignment horizontal="right" vertical="center"/>
    </xf>
    <xf numFmtId="164" fontId="56" fillId="0" borderId="0" xfId="0" applyNumberFormat="1" applyFont="1" applyAlignment="1">
      <alignment vertical="center"/>
    </xf>
    <xf numFmtId="166" fontId="57" fillId="0" borderId="0" xfId="19" applyNumberFormat="1" applyFont="1" applyFill="1" applyAlignment="1">
      <alignment vertical="center"/>
    </xf>
    <xf numFmtId="3" fontId="56" fillId="0" borderId="0" xfId="0" applyNumberFormat="1" applyFont="1" applyAlignment="1">
      <alignment horizontal="left" vertical="center"/>
    </xf>
    <xf numFmtId="176" fontId="56" fillId="0" borderId="0" xfId="0" applyNumberFormat="1" applyFont="1" applyAlignment="1">
      <alignment vertical="center"/>
    </xf>
    <xf numFmtId="165" fontId="57" fillId="0" borderId="0" xfId="0" applyNumberFormat="1" applyFont="1" applyAlignment="1">
      <alignment horizontal="right" vertical="center" wrapText="1"/>
    </xf>
    <xf numFmtId="0" fontId="57" fillId="0" borderId="12" xfId="0" quotePrefix="1" applyFont="1" applyBorder="1" applyAlignment="1">
      <alignment horizontal="left" vertical="center"/>
    </xf>
    <xf numFmtId="0" fontId="57" fillId="0" borderId="12" xfId="0" quotePrefix="1" applyFont="1" applyBorder="1" applyAlignment="1">
      <alignment horizontal="left" vertical="center" wrapText="1"/>
    </xf>
    <xf numFmtId="0" fontId="57" fillId="0" borderId="12" xfId="0" quotePrefix="1" applyFont="1" applyBorder="1" applyAlignment="1">
      <alignment horizontal="center" vertical="center"/>
    </xf>
    <xf numFmtId="0" fontId="57" fillId="0" borderId="12" xfId="0" applyFont="1" applyBorder="1" applyAlignment="1">
      <alignment horizontal="center" vertical="center" wrapText="1"/>
    </xf>
    <xf numFmtId="0" fontId="57" fillId="0" borderId="12" xfId="0" applyFont="1" applyBorder="1" applyAlignment="1">
      <alignment horizontal="center" vertical="center"/>
    </xf>
    <xf numFmtId="3" fontId="57" fillId="0" borderId="0" xfId="0" applyNumberFormat="1" applyFont="1" applyAlignment="1">
      <alignment horizontal="center" vertical="center" wrapText="1"/>
    </xf>
    <xf numFmtId="9" fontId="57" fillId="0" borderId="0" xfId="0" applyNumberFormat="1" applyFont="1" applyAlignment="1">
      <alignment horizontal="center" vertical="center"/>
    </xf>
    <xf numFmtId="9" fontId="57" fillId="0" borderId="0" xfId="0" applyNumberFormat="1" applyFont="1" applyAlignment="1">
      <alignment horizontal="center" vertical="center" wrapText="1"/>
    </xf>
    <xf numFmtId="165" fontId="57" fillId="0" borderId="0" xfId="0" applyNumberFormat="1" applyFont="1" applyAlignment="1">
      <alignment vertical="center"/>
    </xf>
    <xf numFmtId="0" fontId="57" fillId="0" borderId="12" xfId="0" applyFont="1" applyBorder="1" applyAlignment="1">
      <alignment vertical="center"/>
    </xf>
    <xf numFmtId="1" fontId="57" fillId="0" borderId="12" xfId="0" applyNumberFormat="1" applyFont="1" applyBorder="1" applyAlignment="1">
      <alignment horizontal="center" vertical="center" wrapText="1"/>
    </xf>
    <xf numFmtId="0" fontId="57" fillId="0" borderId="12" xfId="0" applyFont="1" applyBorder="1" applyAlignment="1">
      <alignment vertical="center" wrapText="1"/>
    </xf>
    <xf numFmtId="3" fontId="57" fillId="0" borderId="12" xfId="19" applyNumberFormat="1" applyFont="1" applyFill="1" applyBorder="1" applyAlignment="1">
      <alignment horizontal="center" vertical="center"/>
    </xf>
    <xf numFmtId="3" fontId="57" fillId="0" borderId="12" xfId="19" applyNumberFormat="1" applyFont="1" applyFill="1" applyBorder="1" applyAlignment="1">
      <alignment horizontal="right" vertical="center"/>
    </xf>
    <xf numFmtId="176" fontId="57" fillId="0" borderId="12" xfId="19" applyNumberFormat="1" applyFont="1" applyFill="1" applyBorder="1" applyAlignment="1">
      <alignment horizontal="right" vertical="center"/>
    </xf>
    <xf numFmtId="165" fontId="57" fillId="0" borderId="12" xfId="0" applyNumberFormat="1" applyFont="1" applyBorder="1" applyAlignment="1">
      <alignment horizontal="right" vertical="center" wrapText="1"/>
    </xf>
    <xf numFmtId="165" fontId="56" fillId="0" borderId="12" xfId="0" applyNumberFormat="1" applyFont="1" applyBorder="1" applyAlignment="1">
      <alignment horizontal="right" vertical="center" wrapText="1"/>
    </xf>
    <xf numFmtId="37" fontId="57" fillId="0" borderId="0" xfId="0" applyNumberFormat="1" applyFont="1" applyAlignment="1">
      <alignment vertical="center" wrapText="1"/>
    </xf>
    <xf numFmtId="3" fontId="57" fillId="0" borderId="0" xfId="0" applyNumberFormat="1" applyFont="1" applyAlignment="1">
      <alignment vertical="center" wrapText="1"/>
    </xf>
    <xf numFmtId="43" fontId="57" fillId="0" borderId="0" xfId="0" applyNumberFormat="1" applyFont="1" applyAlignment="1">
      <alignment vertical="center" wrapText="1"/>
    </xf>
    <xf numFmtId="0" fontId="57" fillId="0" borderId="0" xfId="0" applyFont="1" applyAlignment="1">
      <alignment vertical="center" wrapText="1"/>
    </xf>
    <xf numFmtId="165" fontId="57" fillId="0" borderId="0" xfId="0" applyNumberFormat="1" applyFont="1" applyAlignment="1">
      <alignment vertical="center" wrapText="1"/>
    </xf>
    <xf numFmtId="9" fontId="56" fillId="0" borderId="13" xfId="0" applyNumberFormat="1" applyFont="1" applyBorder="1" applyAlignment="1">
      <alignment vertical="center" wrapText="1"/>
    </xf>
    <xf numFmtId="176" fontId="57" fillId="0" borderId="12" xfId="0" applyNumberFormat="1" applyFont="1" applyBorder="1" applyAlignment="1">
      <alignment horizontal="right" vertical="center" wrapText="1"/>
    </xf>
    <xf numFmtId="176" fontId="56" fillId="0" borderId="12" xfId="0" applyNumberFormat="1" applyFont="1" applyBorder="1" applyAlignment="1">
      <alignment horizontal="right" vertical="center" wrapText="1"/>
    </xf>
    <xf numFmtId="3" fontId="56" fillId="0" borderId="10" xfId="0" applyNumberFormat="1" applyFont="1" applyBorder="1" applyAlignment="1">
      <alignment horizontal="center" vertical="center" wrapText="1"/>
    </xf>
    <xf numFmtId="3" fontId="56" fillId="0" borderId="0" xfId="0" applyNumberFormat="1" applyFont="1" applyAlignment="1">
      <alignment vertical="center"/>
    </xf>
    <xf numFmtId="3" fontId="57" fillId="0" borderId="0" xfId="0" applyNumberFormat="1" applyFont="1" applyAlignment="1">
      <alignment horizontal="right" vertical="center"/>
    </xf>
    <xf numFmtId="3" fontId="57" fillId="0" borderId="0" xfId="0" applyNumberFormat="1" applyFont="1" applyAlignment="1">
      <alignment vertical="center"/>
    </xf>
    <xf numFmtId="165" fontId="57" fillId="0" borderId="0" xfId="0" applyNumberFormat="1" applyFont="1" applyAlignment="1">
      <alignment horizontal="left" vertical="center"/>
    </xf>
    <xf numFmtId="166" fontId="57" fillId="0" borderId="0" xfId="0" applyNumberFormat="1" applyFont="1" applyAlignment="1">
      <alignment vertical="center"/>
    </xf>
    <xf numFmtId="43" fontId="56" fillId="0" borderId="0" xfId="0" quotePrefix="1" applyNumberFormat="1" applyFont="1" applyAlignment="1">
      <alignment vertical="center"/>
    </xf>
    <xf numFmtId="3" fontId="56" fillId="0" borderId="0" xfId="0" quotePrefix="1" applyNumberFormat="1" applyFont="1" applyAlignment="1">
      <alignment vertical="center"/>
    </xf>
    <xf numFmtId="43" fontId="56" fillId="0" borderId="0" xfId="0" quotePrefix="1" applyNumberFormat="1" applyFont="1" applyAlignment="1">
      <alignment horizontal="left" vertical="center"/>
    </xf>
    <xf numFmtId="4" fontId="56" fillId="0" borderId="0" xfId="0" applyNumberFormat="1" applyFont="1" applyAlignment="1">
      <alignment vertical="center"/>
    </xf>
    <xf numFmtId="43" fontId="56" fillId="0" borderId="0" xfId="0" applyNumberFormat="1" applyFont="1" applyAlignment="1">
      <alignment horizontal="left" vertical="center"/>
    </xf>
    <xf numFmtId="43" fontId="56" fillId="0" borderId="0" xfId="0" applyNumberFormat="1" applyFont="1" applyAlignment="1">
      <alignment vertical="center"/>
    </xf>
    <xf numFmtId="14" fontId="35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1" fontId="3" fillId="0" borderId="14" xfId="0" applyNumberFormat="1" applyFont="1" applyBorder="1" applyAlignment="1">
      <alignment horizontal="center" vertical="center" wrapText="1"/>
    </xf>
    <xf numFmtId="0" fontId="58" fillId="0" borderId="12" xfId="0" quotePrefix="1" applyFont="1" applyBorder="1" applyAlignment="1">
      <alignment horizontal="left"/>
    </xf>
    <xf numFmtId="0" fontId="33" fillId="0" borderId="0" xfId="0" applyFont="1" applyAlignment="1">
      <alignment vertical="center"/>
    </xf>
    <xf numFmtId="3" fontId="33" fillId="0" borderId="0" xfId="0" applyNumberFormat="1" applyFont="1" applyAlignment="1">
      <alignment vertical="center"/>
    </xf>
    <xf numFmtId="0" fontId="56" fillId="0" borderId="12" xfId="0" applyFont="1" applyBorder="1" applyAlignment="1">
      <alignment horizontal="center" vertical="center" wrapText="1"/>
    </xf>
    <xf numFmtId="3" fontId="56" fillId="0" borderId="10" xfId="0" applyNumberFormat="1" applyFont="1" applyBorder="1" applyAlignment="1">
      <alignment vertical="center" wrapText="1"/>
    </xf>
    <xf numFmtId="0" fontId="56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1" fontId="3" fillId="0" borderId="12" xfId="0" applyNumberFormat="1" applyFont="1" applyBorder="1" applyAlignment="1">
      <alignment horizontal="center" vertical="center" wrapText="1"/>
    </xf>
    <xf numFmtId="37" fontId="56" fillId="0" borderId="12" xfId="0" applyNumberFormat="1" applyFont="1" applyBorder="1" applyAlignment="1">
      <alignment horizontal="right" vertical="center" wrapText="1"/>
    </xf>
    <xf numFmtId="164" fontId="56" fillId="0" borderId="0" xfId="0" quotePrefix="1" applyNumberFormat="1" applyFont="1" applyAlignment="1">
      <alignment horizontal="center" vertical="center"/>
    </xf>
    <xf numFmtId="0" fontId="56" fillId="0" borderId="15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9" fontId="56" fillId="0" borderId="0" xfId="0" applyNumberFormat="1" applyFont="1" applyAlignment="1">
      <alignment vertical="center" wrapText="1"/>
    </xf>
    <xf numFmtId="0" fontId="57" fillId="0" borderId="0" xfId="0" applyFont="1" applyAlignment="1">
      <alignment horizontal="center" vertical="center" wrapText="1"/>
    </xf>
    <xf numFmtId="0" fontId="59" fillId="0" borderId="12" xfId="0" quotePrefix="1" applyFont="1" applyBorder="1" applyAlignment="1">
      <alignment horizontal="left" vertical="center"/>
    </xf>
    <xf numFmtId="165" fontId="59" fillId="0" borderId="12" xfId="0" applyNumberFormat="1" applyFont="1" applyBorder="1" applyAlignment="1">
      <alignment horizontal="right" vertical="center" wrapText="1"/>
    </xf>
    <xf numFmtId="3" fontId="44" fillId="0" borderId="0" xfId="0" applyNumberFormat="1" applyFont="1" applyAlignment="1">
      <alignment horizontal="right" vertical="center"/>
    </xf>
    <xf numFmtId="37" fontId="44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right" vertical="center"/>
    </xf>
    <xf numFmtId="3" fontId="39" fillId="0" borderId="0" xfId="0" applyNumberFormat="1" applyFont="1" applyAlignment="1">
      <alignment horizontal="right" vertical="center"/>
    </xf>
    <xf numFmtId="0" fontId="39" fillId="0" borderId="0" xfId="0" applyFont="1" applyAlignment="1">
      <alignment horizontal="right" vertical="center"/>
    </xf>
    <xf numFmtId="0" fontId="57" fillId="0" borderId="12" xfId="0" applyFont="1" applyBorder="1" applyAlignment="1">
      <alignment horizontal="left" vertical="center" wrapText="1"/>
    </xf>
    <xf numFmtId="3" fontId="60" fillId="0" borderId="0" xfId="0" applyNumberFormat="1" applyFont="1" applyAlignment="1">
      <alignment horizontal="right" vertical="center"/>
    </xf>
    <xf numFmtId="0" fontId="61" fillId="0" borderId="12" xfId="0" applyFont="1" applyBorder="1" applyAlignment="1">
      <alignment vertical="center"/>
    </xf>
    <xf numFmtId="37" fontId="61" fillId="0" borderId="12" xfId="0" applyNumberFormat="1" applyFont="1" applyBorder="1" applyAlignment="1">
      <alignment horizontal="right" vertical="center" wrapText="1"/>
    </xf>
    <xf numFmtId="0" fontId="62" fillId="0" borderId="12" xfId="0" applyFont="1" applyBorder="1"/>
    <xf numFmtId="14" fontId="62" fillId="0" borderId="12" xfId="0" quotePrefix="1" applyNumberFormat="1" applyFont="1" applyBorder="1" applyAlignment="1">
      <alignment vertical="center"/>
    </xf>
    <xf numFmtId="165" fontId="63" fillId="0" borderId="12" xfId="0" applyNumberFormat="1" applyFont="1" applyBorder="1" applyAlignment="1">
      <alignment horizontal="right" vertical="center" wrapText="1"/>
    </xf>
    <xf numFmtId="165" fontId="64" fillId="0" borderId="12" xfId="0" applyNumberFormat="1" applyFont="1" applyBorder="1" applyAlignment="1">
      <alignment horizontal="right" vertical="center" wrapText="1"/>
    </xf>
    <xf numFmtId="3" fontId="34" fillId="25" borderId="0" xfId="0" applyNumberFormat="1" applyFont="1" applyFill="1" applyAlignment="1">
      <alignment vertical="center"/>
    </xf>
    <xf numFmtId="177" fontId="57" fillId="0" borderId="12" xfId="0" applyNumberFormat="1" applyFont="1" applyBorder="1" applyAlignment="1">
      <alignment horizontal="center" vertical="center" wrapText="1"/>
    </xf>
    <xf numFmtId="0" fontId="65" fillId="0" borderId="16" xfId="0" applyFont="1" applyBorder="1" applyAlignment="1">
      <alignment horizontal="left" vertical="center" wrapText="1"/>
    </xf>
    <xf numFmtId="3" fontId="61" fillId="0" borderId="12" xfId="19" applyNumberFormat="1" applyFont="1" applyFill="1" applyBorder="1" applyAlignment="1">
      <alignment horizontal="right" vertical="center"/>
    </xf>
    <xf numFmtId="3" fontId="66" fillId="0" borderId="12" xfId="0" applyNumberFormat="1" applyFont="1" applyBorder="1" applyAlignment="1">
      <alignment vertical="center" wrapText="1"/>
    </xf>
    <xf numFmtId="3" fontId="66" fillId="0" borderId="10" xfId="0" applyNumberFormat="1" applyFont="1" applyBorder="1" applyAlignment="1">
      <alignment vertical="center" wrapText="1"/>
    </xf>
    <xf numFmtId="3" fontId="63" fillId="0" borderId="0" xfId="0" applyNumberFormat="1" applyFont="1" applyAlignment="1">
      <alignment horizontal="right" vertical="center"/>
    </xf>
    <xf numFmtId="3" fontId="66" fillId="0" borderId="0" xfId="0" applyNumberFormat="1" applyFont="1" applyAlignment="1">
      <alignment horizontal="right" vertical="center"/>
    </xf>
    <xf numFmtId="9" fontId="57" fillId="26" borderId="12" xfId="0" applyNumberFormat="1" applyFont="1" applyFill="1" applyBorder="1" applyAlignment="1">
      <alignment horizontal="center" vertical="center" wrapText="1"/>
    </xf>
    <xf numFmtId="0" fontId="56" fillId="26" borderId="12" xfId="0" applyFont="1" applyFill="1" applyBorder="1" applyAlignment="1">
      <alignment horizontal="center" vertical="center" wrapText="1"/>
    </xf>
    <xf numFmtId="9" fontId="57" fillId="27" borderId="12" xfId="0" applyNumberFormat="1" applyFont="1" applyFill="1" applyBorder="1" applyAlignment="1">
      <alignment horizontal="center" vertical="center" wrapText="1"/>
    </xf>
    <xf numFmtId="0" fontId="56" fillId="27" borderId="12" xfId="0" applyFont="1" applyFill="1" applyBorder="1" applyAlignment="1">
      <alignment horizontal="center" vertical="center" wrapText="1"/>
    </xf>
    <xf numFmtId="0" fontId="56" fillId="28" borderId="12" xfId="0" applyFont="1" applyFill="1" applyBorder="1" applyAlignment="1">
      <alignment horizontal="center" vertical="center" wrapText="1"/>
    </xf>
    <xf numFmtId="0" fontId="44" fillId="0" borderId="0" xfId="0" applyFont="1" applyAlignment="1">
      <alignment vertical="center"/>
    </xf>
    <xf numFmtId="0" fontId="57" fillId="0" borderId="0" xfId="0" quotePrefix="1" applyFont="1" applyAlignment="1">
      <alignment horizontal="left" vertical="center"/>
    </xf>
    <xf numFmtId="0" fontId="62" fillId="0" borderId="12" xfId="0" applyFont="1" applyBorder="1" applyAlignment="1">
      <alignment horizontal="center"/>
    </xf>
    <xf numFmtId="14" fontId="35" fillId="0" borderId="0" xfId="0" applyNumberFormat="1" applyFont="1" applyAlignment="1">
      <alignment horizontal="center" vertical="center"/>
    </xf>
    <xf numFmtId="0" fontId="56" fillId="29" borderId="12" xfId="0" applyFont="1" applyFill="1" applyBorder="1" applyAlignment="1">
      <alignment horizontal="center" vertical="center" wrapText="1"/>
    </xf>
    <xf numFmtId="0" fontId="56" fillId="25" borderId="0" xfId="0" applyFont="1" applyFill="1" applyAlignment="1">
      <alignment horizontal="center" vertical="center"/>
    </xf>
    <xf numFmtId="49" fontId="67" fillId="0" borderId="0" xfId="34" applyNumberFormat="1" applyFont="1" applyAlignment="1">
      <alignment horizontal="center" wrapText="1"/>
    </xf>
    <xf numFmtId="0" fontId="53" fillId="0" borderId="0" xfId="34"/>
    <xf numFmtId="49" fontId="68" fillId="0" borderId="0" xfId="34" applyNumberFormat="1" applyFont="1" applyAlignment="1">
      <alignment horizontal="center" vertical="center"/>
    </xf>
    <xf numFmtId="49" fontId="68" fillId="0" borderId="0" xfId="34" applyNumberFormat="1" applyFont="1"/>
    <xf numFmtId="49" fontId="68" fillId="0" borderId="0" xfId="34" applyNumberFormat="1" applyFont="1" applyAlignment="1">
      <alignment horizontal="left" vertical="center" wrapText="1"/>
    </xf>
    <xf numFmtId="49" fontId="68" fillId="0" borderId="0" xfId="34" applyNumberFormat="1" applyFont="1" applyAlignment="1">
      <alignment vertical="center"/>
    </xf>
    <xf numFmtId="49" fontId="69" fillId="0" borderId="0" xfId="34" applyNumberFormat="1" applyFont="1" applyAlignment="1">
      <alignment horizontal="left" vertical="center" wrapText="1"/>
    </xf>
    <xf numFmtId="49" fontId="69" fillId="0" borderId="0" xfId="34" applyNumberFormat="1" applyFont="1" applyAlignment="1">
      <alignment horizontal="left" wrapText="1"/>
    </xf>
    <xf numFmtId="49" fontId="53" fillId="0" borderId="0" xfId="34" applyNumberFormat="1"/>
    <xf numFmtId="0" fontId="35" fillId="0" borderId="12" xfId="35" applyFont="1" applyBorder="1" applyAlignment="1">
      <alignment horizontal="center" vertical="center"/>
    </xf>
    <xf numFmtId="49" fontId="35" fillId="0" borderId="12" xfId="35" applyNumberFormat="1" applyFont="1" applyBorder="1" applyAlignment="1">
      <alignment horizontal="center"/>
    </xf>
    <xf numFmtId="49" fontId="35" fillId="0" borderId="12" xfId="37" applyNumberFormat="1" applyFont="1" applyBorder="1" applyAlignment="1">
      <alignment horizontal="center"/>
    </xf>
    <xf numFmtId="0" fontId="70" fillId="0" borderId="0" xfId="35" applyFont="1"/>
    <xf numFmtId="49" fontId="51" fillId="0" borderId="12" xfId="35" applyNumberFormat="1" applyBorder="1" applyAlignment="1">
      <alignment horizontal="center"/>
    </xf>
    <xf numFmtId="49" fontId="51" fillId="0" borderId="12" xfId="35" applyNumberFormat="1" applyBorder="1"/>
    <xf numFmtId="49" fontId="51" fillId="0" borderId="0" xfId="35" applyNumberFormat="1"/>
    <xf numFmtId="0" fontId="70" fillId="0" borderId="0" xfId="35" applyFont="1" applyAlignment="1">
      <alignment horizontal="center"/>
    </xf>
    <xf numFmtId="49" fontId="68" fillId="0" borderId="0" xfId="34" quotePrefix="1" applyNumberFormat="1" applyFont="1"/>
    <xf numFmtId="3" fontId="56" fillId="0" borderId="17" xfId="0" applyNumberFormat="1" applyFont="1" applyBorder="1" applyAlignment="1">
      <alignment horizontal="center" vertical="center"/>
    </xf>
    <xf numFmtId="3" fontId="56" fillId="0" borderId="18" xfId="0" applyNumberFormat="1" applyFont="1" applyBorder="1" applyAlignment="1">
      <alignment horizontal="center" vertical="center" wrapText="1"/>
    </xf>
    <xf numFmtId="167" fontId="56" fillId="0" borderId="18" xfId="0" applyNumberFormat="1" applyFont="1" applyBorder="1" applyAlignment="1">
      <alignment horizontal="center" vertical="center" wrapText="1"/>
    </xf>
    <xf numFmtId="9" fontId="56" fillId="0" borderId="19" xfId="0" applyNumberFormat="1" applyFont="1" applyBorder="1" applyAlignment="1">
      <alignment horizontal="center" vertical="center" wrapText="1"/>
    </xf>
    <xf numFmtId="9" fontId="61" fillId="27" borderId="20" xfId="0" applyNumberFormat="1" applyFont="1" applyFill="1" applyBorder="1" applyAlignment="1">
      <alignment horizontal="center" vertical="center" wrapText="1"/>
    </xf>
    <xf numFmtId="9" fontId="61" fillId="27" borderId="21" xfId="0" applyNumberFormat="1" applyFont="1" applyFill="1" applyBorder="1" applyAlignment="1">
      <alignment horizontal="center" vertical="center" wrapText="1"/>
    </xf>
    <xf numFmtId="0" fontId="61" fillId="27" borderId="22" xfId="0" applyFont="1" applyFill="1" applyBorder="1" applyAlignment="1">
      <alignment horizontal="center" vertical="center" wrapText="1"/>
    </xf>
    <xf numFmtId="9" fontId="61" fillId="27" borderId="22" xfId="0" applyNumberFormat="1" applyFont="1" applyFill="1" applyBorder="1" applyAlignment="1">
      <alignment horizontal="center" vertical="center" wrapText="1"/>
    </xf>
    <xf numFmtId="37" fontId="71" fillId="0" borderId="12" xfId="0" applyNumberFormat="1" applyFont="1" applyBorder="1" applyAlignment="1">
      <alignment horizontal="right" vertical="center" wrapText="1"/>
    </xf>
    <xf numFmtId="3" fontId="57" fillId="0" borderId="23" xfId="0" applyNumberFormat="1" applyFont="1" applyBorder="1" applyAlignment="1">
      <alignment horizontal="center" vertical="center"/>
    </xf>
    <xf numFmtId="37" fontId="72" fillId="0" borderId="12" xfId="0" applyNumberFormat="1" applyFont="1" applyBorder="1" applyAlignment="1">
      <alignment vertical="center" wrapText="1"/>
    </xf>
    <xf numFmtId="3" fontId="73" fillId="0" borderId="12" xfId="19" applyNumberFormat="1" applyFont="1" applyFill="1" applyBorder="1" applyAlignment="1">
      <alignment horizontal="right" vertical="center"/>
    </xf>
    <xf numFmtId="3" fontId="66" fillId="0" borderId="12" xfId="0" applyNumberFormat="1" applyFont="1" applyBorder="1" applyAlignment="1">
      <alignment horizontal="center" vertical="center" wrapText="1"/>
    </xf>
    <xf numFmtId="165" fontId="66" fillId="0" borderId="12" xfId="0" applyNumberFormat="1" applyFont="1" applyBorder="1" applyAlignment="1">
      <alignment horizontal="right" vertical="center" wrapText="1"/>
    </xf>
    <xf numFmtId="176" fontId="66" fillId="0" borderId="12" xfId="0" applyNumberFormat="1" applyFont="1" applyBorder="1" applyAlignment="1">
      <alignment horizontal="right" vertical="center" wrapText="1"/>
    </xf>
    <xf numFmtId="3" fontId="66" fillId="0" borderId="0" xfId="0" applyNumberFormat="1" applyFont="1" applyAlignment="1">
      <alignment vertical="center" wrapText="1"/>
    </xf>
    <xf numFmtId="0" fontId="66" fillId="0" borderId="0" xfId="0" applyFont="1" applyAlignment="1">
      <alignment vertical="center" wrapText="1"/>
    </xf>
    <xf numFmtId="43" fontId="66" fillId="0" borderId="0" xfId="0" applyNumberFormat="1" applyFont="1" applyAlignment="1">
      <alignment vertical="center" wrapText="1"/>
    </xf>
    <xf numFmtId="165" fontId="66" fillId="0" borderId="0" xfId="0" applyNumberFormat="1" applyFont="1" applyAlignment="1">
      <alignment vertical="center" wrapText="1"/>
    </xf>
    <xf numFmtId="3" fontId="71" fillId="0" borderId="0" xfId="0" applyNumberFormat="1" applyFont="1" applyAlignment="1">
      <alignment vertical="center" wrapText="1"/>
    </xf>
    <xf numFmtId="0" fontId="71" fillId="0" borderId="0" xfId="0" applyFont="1" applyAlignment="1">
      <alignment vertical="center" wrapText="1"/>
    </xf>
    <xf numFmtId="3" fontId="44" fillId="0" borderId="12" xfId="19" applyNumberFormat="1" applyFont="1" applyFill="1" applyBorder="1" applyAlignment="1">
      <alignment horizontal="right" vertical="center"/>
    </xf>
    <xf numFmtId="166" fontId="74" fillId="0" borderId="0" xfId="0" quotePrefix="1" applyNumberFormat="1" applyFont="1" applyAlignment="1">
      <alignment horizontal="left" vertical="center"/>
    </xf>
    <xf numFmtId="3" fontId="75" fillId="0" borderId="0" xfId="0" applyNumberFormat="1" applyFont="1" applyAlignment="1">
      <alignment vertical="center"/>
    </xf>
    <xf numFmtId="0" fontId="76" fillId="0" borderId="16" xfId="0" applyFont="1" applyBorder="1" applyAlignment="1">
      <alignment horizontal="left" vertical="center" wrapText="1"/>
    </xf>
    <xf numFmtId="3" fontId="77" fillId="0" borderId="0" xfId="0" applyNumberFormat="1" applyFont="1" applyAlignment="1">
      <alignment vertical="center"/>
    </xf>
    <xf numFmtId="43" fontId="60" fillId="0" borderId="0" xfId="0" applyNumberFormat="1" applyFont="1" applyAlignment="1">
      <alignment vertical="center"/>
    </xf>
    <xf numFmtId="3" fontId="60" fillId="0" borderId="0" xfId="0" applyNumberFormat="1" applyFont="1" applyAlignment="1">
      <alignment vertical="center"/>
    </xf>
    <xf numFmtId="165" fontId="60" fillId="0" borderId="0" xfId="0" applyNumberFormat="1" applyFont="1" applyAlignment="1">
      <alignment vertical="center"/>
    </xf>
    <xf numFmtId="0" fontId="60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166" fontId="77" fillId="0" borderId="0" xfId="19" applyNumberFormat="1" applyFont="1" applyFill="1" applyAlignment="1">
      <alignment vertical="center"/>
    </xf>
    <xf numFmtId="4" fontId="60" fillId="0" borderId="0" xfId="0" applyNumberFormat="1" applyFont="1" applyAlignment="1">
      <alignment vertical="center"/>
    </xf>
    <xf numFmtId="166" fontId="60" fillId="0" borderId="0" xfId="0" applyNumberFormat="1" applyFont="1" applyAlignment="1">
      <alignment vertical="center"/>
    </xf>
    <xf numFmtId="3" fontId="77" fillId="0" borderId="0" xfId="0" applyNumberFormat="1" applyFont="1" applyAlignment="1">
      <alignment horizontal="left" vertical="center"/>
    </xf>
    <xf numFmtId="166" fontId="60" fillId="0" borderId="0" xfId="19" applyNumberFormat="1" applyFont="1" applyFill="1" applyAlignment="1">
      <alignment vertical="center"/>
    </xf>
    <xf numFmtId="3" fontId="81" fillId="0" borderId="12" xfId="0" applyNumberFormat="1" applyFont="1" applyBorder="1"/>
    <xf numFmtId="43" fontId="82" fillId="0" borderId="0" xfId="0" applyNumberFormat="1" applyFont="1" applyAlignment="1">
      <alignment vertical="center"/>
    </xf>
    <xf numFmtId="0" fontId="56" fillId="0" borderId="12" xfId="0" applyFont="1" applyBorder="1" applyAlignment="1">
      <alignment horizontal="center" vertical="center" wrapText="1"/>
    </xf>
    <xf numFmtId="0" fontId="56" fillId="0" borderId="24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 wrapText="1"/>
    </xf>
    <xf numFmtId="0" fontId="56" fillId="30" borderId="12" xfId="0" applyFont="1" applyFill="1" applyBorder="1" applyAlignment="1">
      <alignment horizontal="center" vertical="center" wrapText="1"/>
    </xf>
    <xf numFmtId="0" fontId="56" fillId="30" borderId="24" xfId="0" applyFont="1" applyFill="1" applyBorder="1" applyAlignment="1">
      <alignment horizontal="center" vertical="center" wrapText="1"/>
    </xf>
    <xf numFmtId="0" fontId="56" fillId="30" borderId="25" xfId="0" applyFont="1" applyFill="1" applyBorder="1" applyAlignment="1">
      <alignment horizontal="center" vertical="center" wrapText="1"/>
    </xf>
    <xf numFmtId="0" fontId="56" fillId="27" borderId="14" xfId="0" applyFont="1" applyFill="1" applyBorder="1" applyAlignment="1">
      <alignment horizontal="center" vertical="center" wrapText="1"/>
    </xf>
    <xf numFmtId="0" fontId="56" fillId="27" borderId="4" xfId="0" applyFont="1" applyFill="1" applyBorder="1" applyAlignment="1">
      <alignment horizontal="center" vertical="center"/>
    </xf>
    <xf numFmtId="0" fontId="56" fillId="27" borderId="16" xfId="0" applyFont="1" applyFill="1" applyBorder="1" applyAlignment="1">
      <alignment horizontal="center" vertical="center"/>
    </xf>
    <xf numFmtId="0" fontId="56" fillId="28" borderId="12" xfId="0" applyFont="1" applyFill="1" applyBorder="1" applyAlignment="1">
      <alignment horizontal="center" vertical="center" wrapText="1"/>
    </xf>
    <xf numFmtId="0" fontId="78" fillId="28" borderId="12" xfId="0" applyFont="1" applyFill="1" applyBorder="1" applyAlignment="1">
      <alignment horizontal="center" vertical="center" wrapText="1"/>
    </xf>
    <xf numFmtId="0" fontId="56" fillId="0" borderId="12" xfId="0" applyFont="1" applyBorder="1" applyAlignment="1">
      <alignment horizontal="left" vertical="center"/>
    </xf>
    <xf numFmtId="0" fontId="56" fillId="0" borderId="12" xfId="0" quotePrefix="1" applyFont="1" applyBorder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56" fillId="0" borderId="10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center" vertical="center" wrapText="1"/>
    </xf>
    <xf numFmtId="0" fontId="66" fillId="0" borderId="4" xfId="0" applyFont="1" applyBorder="1" applyAlignment="1">
      <alignment horizontal="center" vertical="center" wrapText="1"/>
    </xf>
    <xf numFmtId="0" fontId="66" fillId="0" borderId="16" xfId="0" applyFont="1" applyBorder="1" applyAlignment="1">
      <alignment horizontal="center" vertical="center" wrapText="1"/>
    </xf>
    <xf numFmtId="0" fontId="57" fillId="0" borderId="27" xfId="0" applyFont="1" applyBorder="1" applyAlignment="1">
      <alignment horizontal="center" vertical="center" wrapText="1"/>
    </xf>
    <xf numFmtId="0" fontId="57" fillId="0" borderId="28" xfId="0" applyFont="1" applyBorder="1" applyAlignment="1">
      <alignment horizontal="center" vertical="center" wrapText="1"/>
    </xf>
    <xf numFmtId="0" fontId="56" fillId="0" borderId="26" xfId="0" applyFont="1" applyBorder="1" applyAlignment="1">
      <alignment horizontal="left" vertical="center" wrapText="1"/>
    </xf>
    <xf numFmtId="0" fontId="56" fillId="0" borderId="4" xfId="0" applyFont="1" applyBorder="1" applyAlignment="1">
      <alignment horizontal="left" vertical="center" wrapText="1"/>
    </xf>
    <xf numFmtId="0" fontId="79" fillId="0" borderId="24" xfId="0" applyFont="1" applyBorder="1" applyAlignment="1">
      <alignment horizontal="center" vertical="center" wrapText="1"/>
    </xf>
    <xf numFmtId="0" fontId="56" fillId="0" borderId="25" xfId="0" applyFont="1" applyBorder="1" applyAlignment="1">
      <alignment horizontal="center" vertical="center"/>
    </xf>
    <xf numFmtId="0" fontId="66" fillId="0" borderId="12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56" fillId="26" borderId="23" xfId="0" applyFont="1" applyFill="1" applyBorder="1" applyAlignment="1">
      <alignment horizontal="center" vertical="center" wrapText="1"/>
    </xf>
    <xf numFmtId="0" fontId="56" fillId="26" borderId="29" xfId="0" applyFont="1" applyFill="1" applyBorder="1" applyAlignment="1">
      <alignment horizontal="center" vertical="center" wrapText="1"/>
    </xf>
    <xf numFmtId="0" fontId="56" fillId="26" borderId="30" xfId="0" applyFont="1" applyFill="1" applyBorder="1" applyAlignment="1">
      <alignment horizontal="center" vertical="center" wrapText="1"/>
    </xf>
    <xf numFmtId="164" fontId="56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8" fillId="24" borderId="0" xfId="0" applyFont="1" applyFill="1" applyAlignment="1">
      <alignment horizontal="center" vertical="center"/>
    </xf>
    <xf numFmtId="43" fontId="34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 wrapText="1"/>
    </xf>
    <xf numFmtId="0" fontId="41" fillId="0" borderId="0" xfId="52" applyFont="1" applyAlignment="1">
      <alignment horizontal="center" wrapText="1"/>
    </xf>
    <xf numFmtId="1" fontId="3" fillId="0" borderId="0" xfId="0" applyNumberFormat="1" applyFont="1" applyAlignment="1">
      <alignment horizontal="center" vertical="center"/>
    </xf>
    <xf numFmtId="0" fontId="38" fillId="24" borderId="31" xfId="0" applyFont="1" applyFill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 wrapText="1"/>
    </xf>
    <xf numFmtId="1" fontId="3" fillId="0" borderId="25" xfId="0" applyNumberFormat="1" applyFont="1" applyBorder="1" applyAlignment="1">
      <alignment horizontal="center" vertical="center" wrapText="1"/>
    </xf>
    <xf numFmtId="1" fontId="35" fillId="0" borderId="24" xfId="0" applyNumberFormat="1" applyFont="1" applyBorder="1" applyAlignment="1">
      <alignment horizontal="center" vertical="center" wrapText="1"/>
    </xf>
    <xf numFmtId="1" fontId="35" fillId="0" borderId="25" xfId="0" applyNumberFormat="1" applyFont="1" applyBorder="1" applyAlignment="1">
      <alignment horizontal="center" vertical="center" wrapText="1"/>
    </xf>
  </cellXfs>
  <cellStyles count="95">
    <cellStyle name="20% - アクセント 1" xfId="1" xr:uid="{0488BA74-9897-47E5-8EE7-1468508C00B0}"/>
    <cellStyle name="20% - アクセント 2" xfId="2" xr:uid="{F2D0B194-8FAB-48F8-8AF7-0DA75C5BA021}"/>
    <cellStyle name="20% - アクセント 3" xfId="3" xr:uid="{22136D9B-8FBA-4416-B3BD-543C9CFC78F9}"/>
    <cellStyle name="20% - アクセント 4" xfId="4" xr:uid="{9725335E-1C73-4C10-B765-BAB1FFC58875}"/>
    <cellStyle name="20% - アクセント 5" xfId="5" xr:uid="{FACE7DBB-EE30-45F3-8CC9-54FF3B3DD5B4}"/>
    <cellStyle name="20% - アクセント 6" xfId="6" xr:uid="{EA5BF534-CD5B-466B-B256-011707852A2C}"/>
    <cellStyle name="40% - アクセント 1" xfId="7" xr:uid="{1AE76497-97E8-422F-95D9-8DAC79F1C40D}"/>
    <cellStyle name="40% - アクセント 2" xfId="8" xr:uid="{F6E7AD56-DAB2-48DC-B951-05C07F124BDA}"/>
    <cellStyle name="40% - アクセント 3" xfId="9" xr:uid="{E7A7628C-1EB5-413C-A3DC-7559A0F184A5}"/>
    <cellStyle name="40% - アクセント 4" xfId="10" xr:uid="{34143034-A202-4F24-870A-808322171F88}"/>
    <cellStyle name="40% - アクセント 5" xfId="11" xr:uid="{C58EB2E7-2A08-464D-8316-3E9CBDBE5F9E}"/>
    <cellStyle name="40% - アクセント 6" xfId="12" xr:uid="{1362ECA6-AD60-456B-9A52-0E56FDFD77B2}"/>
    <cellStyle name="60% - アクセント 1" xfId="13" xr:uid="{AE6E2BA4-C0EE-4715-90BA-34448AB467A9}"/>
    <cellStyle name="60% - アクセント 2" xfId="14" xr:uid="{52CD722F-2E36-4B24-B691-30726309AC3A}"/>
    <cellStyle name="60% - アクセント 3" xfId="15" xr:uid="{F72D1BD2-A715-4C00-87FF-08550FE7E71B}"/>
    <cellStyle name="60% - アクセント 4" xfId="16" xr:uid="{D9524C4F-034B-4E17-9348-5541C2EEAD51}"/>
    <cellStyle name="60% - アクセント 5" xfId="17" xr:uid="{890F8AA5-ABA5-4E26-8E45-70B1E375170B}"/>
    <cellStyle name="60% - アクセント 6" xfId="18" xr:uid="{76C93134-AE8D-418F-9EC5-EE183780E825}"/>
    <cellStyle name="Comma" xfId="19" builtinId="3"/>
    <cellStyle name="Comma [0] 2" xfId="20" xr:uid="{1AE37615-5B37-4D02-92EB-162C10AF74E7}"/>
    <cellStyle name="Comma [0] 3" xfId="21" xr:uid="{B8BCEE69-9303-44A0-9CCA-35C5B882FFAA}"/>
    <cellStyle name="Comma 10" xfId="22" xr:uid="{000FA90C-A1D0-4370-88AD-9346D488DF15}"/>
    <cellStyle name="Comma 2" xfId="23" xr:uid="{3D7B7355-82E0-4BB6-AADF-3E7D2D11D0D2}"/>
    <cellStyle name="Comma 3" xfId="24" xr:uid="{F05EDCB8-AED9-4DC3-8542-F0B47F64FCD6}"/>
    <cellStyle name="Comma 4" xfId="25" xr:uid="{5B79D9F0-F4A2-4286-A64C-EABB8730A809}"/>
    <cellStyle name="Comma 5" xfId="26" xr:uid="{0BB54FA8-57E9-43A3-980B-FCCC3108563C}"/>
    <cellStyle name="Comma 6" xfId="27" xr:uid="{0B85FD10-FE54-4ABC-8B8A-35DF3870D11E}"/>
    <cellStyle name="Comma 7" xfId="28" xr:uid="{9E03147D-D952-49FA-A28B-1F07E9E72A3A}"/>
    <cellStyle name="Comma 8" xfId="29" xr:uid="{F139316E-7C27-4789-A1E9-71A2B3D53AF7}"/>
    <cellStyle name="Comma 9" xfId="30" xr:uid="{0600A339-168B-4CE1-8A46-93E6DC7E3521}"/>
    <cellStyle name="Header1" xfId="31" xr:uid="{E74184AE-8A85-4497-8CC2-CF4A3B01C732}"/>
    <cellStyle name="Header2" xfId="32" xr:uid="{19764956-B26B-4599-9609-2E49749D04CB}"/>
    <cellStyle name="Normal" xfId="0" builtinId="0"/>
    <cellStyle name="Normal 10" xfId="33" xr:uid="{12755B82-7AB8-4DC1-A4A7-AE5293371BFE}"/>
    <cellStyle name="Normal 11" xfId="34" xr:uid="{1907B81B-BE3D-4C8C-9D65-F2B800AAF4F8}"/>
    <cellStyle name="Normal 12" xfId="35" xr:uid="{0B7CA3F9-2E3F-4370-824F-A51CC9DD9B0C}"/>
    <cellStyle name="Normal 2" xfId="36" xr:uid="{ED656AA5-8595-4F2D-B370-0F44986CE289}"/>
    <cellStyle name="Normal 2 2" xfId="37" xr:uid="{E095D2A1-1BCC-44AC-9F7D-DDCE843993D8}"/>
    <cellStyle name="Normal 3" xfId="38" xr:uid="{E1CE04EE-BAFA-4877-A8D4-315FD8B0750F}"/>
    <cellStyle name="Normal 4" xfId="39" xr:uid="{128DAD03-998A-446F-9AC6-C769C82C438F}"/>
    <cellStyle name="Normal 5" xfId="40" xr:uid="{4D203469-092D-442B-849A-3914141FDAFF}"/>
    <cellStyle name="Normal 6" xfId="41" xr:uid="{F74AA4DE-5089-423B-8C3E-02D499B9182C}"/>
    <cellStyle name="Normal 7" xfId="42" xr:uid="{162C70DE-F2F6-486A-9316-1E53E93D2867}"/>
    <cellStyle name="Normal 7 2" xfId="43" xr:uid="{7A836FFB-0649-42AA-A612-9AF56CC1F411}"/>
    <cellStyle name="Normal 7 3" xfId="44" xr:uid="{854FEE1F-82E2-433C-A71E-794E59760791}"/>
    <cellStyle name="Normal 7 4" xfId="45" xr:uid="{8B9D0588-7FCA-416F-B584-DA3E0530E777}"/>
    <cellStyle name="Normal 7 5" xfId="46" xr:uid="{11650066-96AB-4FD8-959D-7CE52E7680F0}"/>
    <cellStyle name="Normal 7 6" xfId="47" xr:uid="{A1F509E6-8745-4FE2-94AE-2EDC7F851097}"/>
    <cellStyle name="Normal 7 7" xfId="48" xr:uid="{0AF9528E-B4F9-47DB-A1A8-46AD9D27D4A7}"/>
    <cellStyle name="Normal 7 8" xfId="49" xr:uid="{02001C5C-8A8D-48FB-9291-F6D5A0633FC1}"/>
    <cellStyle name="Normal 8" xfId="50" xr:uid="{F883DDD3-C2D9-41E6-941C-C153948D2E26}"/>
    <cellStyle name="Normal 9" xfId="51" xr:uid="{1C7E29E0-71DB-4287-9162-93203119E4F8}"/>
    <cellStyle name="Normal_Ms_Nga2.4" xfId="52" xr:uid="{1F029BAD-0828-4D23-BBC7-D2185D12B8EF}"/>
    <cellStyle name="アクセント 1" xfId="53" xr:uid="{96DD1A85-60FD-4858-A628-0DBD0C359363}"/>
    <cellStyle name="アクセント 2" xfId="54" xr:uid="{BF8CDF6E-322A-4505-94EB-9DD8F141A9F9}"/>
    <cellStyle name="アクセント 3" xfId="55" xr:uid="{889A2001-FDB5-40C9-B647-23ECD5375A16}"/>
    <cellStyle name="アクセント 4" xfId="56" xr:uid="{6B84625E-5554-4E3D-8971-8435F2DAF292}"/>
    <cellStyle name="アクセント 5" xfId="57" xr:uid="{0AED3C43-30E3-416D-A95C-E85689EF039D}"/>
    <cellStyle name="アクセント 6" xfId="58" xr:uid="{4C42E497-5A04-47F6-91F3-B3D4FEFFD6FF}"/>
    <cellStyle name="タイトル" xfId="59" xr:uid="{F47F821A-ACB5-4241-88E7-9BF67610286D}"/>
    <cellStyle name="チェック セル" xfId="60" xr:uid="{087E505A-480C-40BF-8BC4-35F1A28BF49D}"/>
    <cellStyle name="どちらでもない" xfId="61" xr:uid="{E9E3250F-9DDB-4234-9549-94670642A9A6}"/>
    <cellStyle name="メモ" xfId="62" xr:uid="{13E09E11-7B9F-466E-9E9B-95034E78A711}"/>
    <cellStyle name="リンク セル" xfId="63" xr:uid="{5B72A29F-5BBE-4DF5-A10E-A2F78B2E56EF}"/>
    <cellStyle name="똿뗦먛귟 [0.00]_PRODUCT DETAIL Q1" xfId="64" xr:uid="{ABC714C0-3834-4427-B99D-6BC94D1DCB06}"/>
    <cellStyle name="똿뗦먛귟_PRODUCT DETAIL Q1" xfId="65" xr:uid="{9392A5E6-2815-45D6-8DF9-25631496070C}"/>
    <cellStyle name="믅됞 [0.00]_PRODUCT DETAIL Q1" xfId="66" xr:uid="{D2EA3411-6290-4F58-B899-87B8AF43D203}"/>
    <cellStyle name="믅됞_PRODUCT DETAIL Q1" xfId="67" xr:uid="{4846870E-1F93-48EB-A743-6635C9D13734}"/>
    <cellStyle name="백분율_95" xfId="68" xr:uid="{FE15DB36-3C56-44D2-B8D3-1F765092EF8D}"/>
    <cellStyle name="뷭?_BOOKSHIP" xfId="69" xr:uid="{8D0AB5CB-30FD-4253-AC30-B2538335BEC8}"/>
    <cellStyle name="콤마 [0]_1202" xfId="70" xr:uid="{AE6A1745-CC6E-4491-B677-E9206BA8929B}"/>
    <cellStyle name="콤마_1202" xfId="71" xr:uid="{4DCCC1F3-2080-4159-B387-08C266033D6D}"/>
    <cellStyle name="통화 [0]_1202" xfId="72" xr:uid="{E4A69F77-F578-450C-AC0E-819A4EF1FEEA}"/>
    <cellStyle name="통화_1202" xfId="73" xr:uid="{850DAA12-8276-440E-BDDF-A17C69355582}"/>
    <cellStyle name="표준_(정보부문)월별인원계획" xfId="74" xr:uid="{253C132E-042E-4087-A867-1CB6B322097C}"/>
    <cellStyle name="一般_Book1" xfId="75" xr:uid="{64A0472D-493D-4160-AEEE-2AA0EBDBA9EF}"/>
    <cellStyle name="入力" xfId="76" xr:uid="{9179CA48-2FEB-4ECB-9CA2-4A822B6C51AA}"/>
    <cellStyle name="出力" xfId="77" xr:uid="{477B3C6D-2B38-43AC-BEE7-E7A6AF444E61}"/>
    <cellStyle name="千分位[0]_Book1" xfId="78" xr:uid="{2EFB498F-8E07-463E-A25E-3165545F561C}"/>
    <cellStyle name="千分位_Book1" xfId="79" xr:uid="{B014409B-CF6E-4A6B-92A1-71CB0149F83D}"/>
    <cellStyle name="悪い" xfId="80" xr:uid="{F0301624-AB68-4A7A-A8E2-E698A11D9984}"/>
    <cellStyle name="桁区切り [0.00] 2" xfId="81" xr:uid="{382B3B99-89A1-4B28-8772-21901E36D7C5}"/>
    <cellStyle name="桁区切り 2" xfId="82" xr:uid="{14F404BF-713F-4197-9A0B-414FC242C3AE}"/>
    <cellStyle name="標準_ATTENDANCE CARD" xfId="83" xr:uid="{BF53F99C-1D18-4DFB-A7D9-9ABF129C2FDF}"/>
    <cellStyle name="良い" xfId="84" xr:uid="{9F56F21B-06A0-413D-95DF-DCFF09C702C9}"/>
    <cellStyle name="見出し 1" xfId="85" xr:uid="{8F8D4603-4D64-4FEB-A6EA-D317FD65B960}"/>
    <cellStyle name="見出し 2" xfId="86" xr:uid="{CC60C7C1-2858-4402-8D4D-EDCB03A72554}"/>
    <cellStyle name="見出し 3" xfId="87" xr:uid="{B1FEC2E8-8F62-488D-A607-AE3185834488}"/>
    <cellStyle name="見出し 4" xfId="88" xr:uid="{8DE2906B-E61B-4BB0-95F1-58BA390E722A}"/>
    <cellStyle name="計算" xfId="89" xr:uid="{A4005AFB-4B6C-46C1-BD98-6E5AE0E3A957}"/>
    <cellStyle name="説明文" xfId="90" xr:uid="{C7D31A0A-B6D3-4FF6-B8D9-AF1F342A57C9}"/>
    <cellStyle name="警告文" xfId="91" xr:uid="{7BB71E20-3F6F-45A2-9173-A185613E8195}"/>
    <cellStyle name="貨幣 [0]_Book1" xfId="92" xr:uid="{4BFEBFDC-5D16-4C28-B651-11305D038309}"/>
    <cellStyle name="貨幣_Book1" xfId="93" xr:uid="{8EEFB504-C937-4A78-987C-9A5DED48BFE9}"/>
    <cellStyle name="集計" xfId="94" xr:uid="{47BFB94C-657D-480D-97BE-3EE04E164EF9}"/>
  </cellStyles>
  <dxfs count="2"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3097E-C9D6-4439-8918-1CF7A1CF8F4A}">
  <sheetPr codeName="Sheet1"/>
  <dimension ref="A1:AT33"/>
  <sheetViews>
    <sheetView tabSelected="1" topLeftCell="A2" zoomScale="55" zoomScaleNormal="55" workbookViewId="0">
      <pane xSplit="4" ySplit="9" topLeftCell="E11" activePane="bottomRight" state="frozen"/>
      <selection activeCell="A2" sqref="A2"/>
      <selection pane="topRight" activeCell="E2" sqref="E2"/>
      <selection pane="bottomLeft" activeCell="A11" sqref="A11"/>
      <selection pane="bottomRight" activeCell="G23" sqref="G23"/>
    </sheetView>
  </sheetViews>
  <sheetFormatPr defaultColWidth="16.33203125" defaultRowHeight="19.2"/>
  <cols>
    <col min="1" max="1" width="7.44140625" style="15" customWidth="1"/>
    <col min="2" max="2" width="9.33203125" style="15" customWidth="1"/>
    <col min="3" max="3" width="37.33203125" style="15" customWidth="1"/>
    <col min="4" max="4" width="9.6640625" style="20" customWidth="1"/>
    <col min="5" max="5" width="26" style="17" customWidth="1"/>
    <col min="6" max="6" width="17.44140625" style="17" customWidth="1"/>
    <col min="7" max="7" width="20" style="16" customWidth="1"/>
    <col min="8" max="8" width="19.109375" style="17" customWidth="1"/>
    <col min="9" max="9" width="15.5546875" style="17" hidden="1" customWidth="1"/>
    <col min="10" max="10" width="18.109375" style="17" customWidth="1"/>
    <col min="11" max="12" width="20.5546875" style="17" customWidth="1"/>
    <col min="13" max="13" width="17.5546875" style="17" hidden="1" customWidth="1"/>
    <col min="14" max="14" width="21.6640625" style="17" customWidth="1"/>
    <col min="15" max="15" width="19.44140625" style="17" hidden="1" customWidth="1"/>
    <col min="16" max="16" width="18.88671875" style="19" customWidth="1"/>
    <col min="17" max="19" width="16.6640625" style="19" customWidth="1"/>
    <col min="20" max="20" width="17.5546875" style="19" bestFit="1" customWidth="1"/>
    <col min="21" max="23" width="16.6640625" style="19" customWidth="1"/>
    <col min="24" max="24" width="17.5546875" style="19" bestFit="1" customWidth="1"/>
    <col min="25" max="25" width="16.6640625" style="19" customWidth="1"/>
    <col min="26" max="26" width="20.33203125" style="19" customWidth="1"/>
    <col min="27" max="27" width="19.33203125" style="18" customWidth="1"/>
    <col min="28" max="28" width="17.88671875" style="20" customWidth="1"/>
    <col min="29" max="29" width="19.44140625" style="20" customWidth="1"/>
    <col min="30" max="30" width="15.109375" style="20" customWidth="1"/>
    <col min="31" max="31" width="17.88671875" style="20" hidden="1" customWidth="1"/>
    <col min="32" max="32" width="17" style="20" hidden="1" customWidth="1"/>
    <col min="33" max="34" width="19.6640625" style="20" customWidth="1"/>
    <col min="35" max="35" width="23.109375" style="20" customWidth="1"/>
    <col min="36" max="36" width="29.33203125" style="20" customWidth="1"/>
    <col min="37" max="37" width="26.6640625" style="20" customWidth="1"/>
    <col min="38" max="40" width="9.6640625" style="20" customWidth="1"/>
    <col min="41" max="41" width="22.44140625" style="20" customWidth="1"/>
    <col min="42" max="42" width="21.6640625" style="20" customWidth="1"/>
    <col min="43" max="43" width="21.88671875" style="20" customWidth="1"/>
    <col min="44" max="44" width="26.33203125" style="20" customWidth="1"/>
    <col min="45" max="45" width="24.109375" style="20" customWidth="1"/>
    <col min="46" max="46" width="16.6640625" style="20" bestFit="1" customWidth="1"/>
    <col min="47" max="16384" width="16.33203125" style="20"/>
  </cols>
  <sheetData>
    <row r="1" spans="1:46" ht="18.75" customHeight="1">
      <c r="A1" s="15" t="s">
        <v>36</v>
      </c>
      <c r="C1" s="16" t="s">
        <v>58</v>
      </c>
      <c r="D1" s="17"/>
      <c r="P1" s="18"/>
      <c r="Q1" s="18"/>
      <c r="S1" s="18"/>
      <c r="T1" s="18"/>
      <c r="U1" s="18"/>
      <c r="V1" s="18"/>
      <c r="W1" s="18"/>
      <c r="X1" s="18"/>
      <c r="Y1" s="18"/>
      <c r="Z1" s="18"/>
      <c r="AB1" s="18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2" spans="1:46" ht="18.75" customHeight="1">
      <c r="A2" s="15" t="s">
        <v>37</v>
      </c>
      <c r="C2" s="15" t="s">
        <v>585</v>
      </c>
      <c r="S2" s="21"/>
      <c r="T2" s="18"/>
      <c r="U2" s="18"/>
      <c r="V2" s="18"/>
      <c r="W2" s="18"/>
      <c r="X2" s="18"/>
      <c r="Y2" s="18"/>
      <c r="Z2" s="18"/>
      <c r="AB2" s="17"/>
      <c r="AF2" s="17"/>
      <c r="AG2" s="17"/>
      <c r="AH2" s="17"/>
      <c r="AI2" s="17"/>
      <c r="AJ2" s="17"/>
      <c r="AK2" s="17"/>
      <c r="AL2" s="17"/>
      <c r="AM2" s="17"/>
    </row>
    <row r="3" spans="1:46" ht="24" customHeight="1">
      <c r="A3" s="15" t="s">
        <v>60</v>
      </c>
      <c r="C3" s="110" t="s">
        <v>63</v>
      </c>
      <c r="F3" s="197" t="s">
        <v>5</v>
      </c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C3" s="17"/>
      <c r="AD3" s="17"/>
      <c r="AE3" s="17"/>
      <c r="AF3" s="17"/>
      <c r="AG3" s="17"/>
      <c r="AH3" s="17"/>
      <c r="AI3" s="17"/>
      <c r="AM3" s="22"/>
    </row>
    <row r="4" spans="1:46" ht="25.5" customHeight="1" thickBot="1">
      <c r="A4" s="15" t="s">
        <v>38</v>
      </c>
      <c r="C4" s="15" t="s">
        <v>59</v>
      </c>
      <c r="G4" s="114">
        <v>22</v>
      </c>
      <c r="K4" s="201" t="s">
        <v>11</v>
      </c>
      <c r="L4" s="201"/>
      <c r="M4" s="201"/>
      <c r="N4" s="201"/>
      <c r="O4" s="201"/>
      <c r="P4" s="201"/>
      <c r="Q4" s="76" t="s">
        <v>591</v>
      </c>
      <c r="R4" s="76" t="s">
        <v>589</v>
      </c>
      <c r="T4" s="18"/>
      <c r="U4" s="18"/>
      <c r="V4" s="18"/>
      <c r="W4" s="18"/>
      <c r="X4" s="18"/>
      <c r="Y4" s="18"/>
      <c r="Z4" s="18"/>
      <c r="AB4" s="17"/>
      <c r="AC4" s="23"/>
      <c r="AD4" s="23"/>
      <c r="AE4" s="23"/>
      <c r="AF4" s="17"/>
      <c r="AG4" s="17"/>
      <c r="AH4" s="17"/>
      <c r="AI4" s="17"/>
      <c r="AM4" s="22"/>
    </row>
    <row r="5" spans="1:46" ht="18.75" hidden="1" customHeight="1" thickBot="1">
      <c r="G5" s="24"/>
      <c r="AB5" s="16"/>
      <c r="AC5" s="23"/>
      <c r="AD5" s="23"/>
      <c r="AE5" s="23"/>
      <c r="AF5" s="17"/>
      <c r="AG5" s="17"/>
      <c r="AH5" s="17"/>
      <c r="AI5" s="17"/>
      <c r="AM5" s="22"/>
    </row>
    <row r="6" spans="1:46" ht="19.8" hidden="1" thickBot="1">
      <c r="B6" s="16"/>
      <c r="F6" s="17" t="s">
        <v>27</v>
      </c>
      <c r="N6" s="25"/>
      <c r="AB6" s="26"/>
    </row>
    <row r="7" spans="1:46" ht="65.25" customHeight="1" thickTop="1">
      <c r="A7" s="182" t="s">
        <v>0</v>
      </c>
      <c r="B7" s="193" t="s">
        <v>572</v>
      </c>
      <c r="C7" s="172" t="s">
        <v>10</v>
      </c>
      <c r="D7" s="70" t="s">
        <v>70</v>
      </c>
      <c r="E7" s="70" t="s">
        <v>14</v>
      </c>
      <c r="F7" s="70" t="s">
        <v>12</v>
      </c>
      <c r="G7" s="70" t="s">
        <v>17</v>
      </c>
      <c r="H7" s="171" t="s">
        <v>43</v>
      </c>
      <c r="I7" s="171"/>
      <c r="J7" s="171"/>
      <c r="K7" s="171"/>
      <c r="L7" s="171"/>
      <c r="M7" s="171"/>
      <c r="N7" s="174" t="s">
        <v>40</v>
      </c>
      <c r="O7" s="175" t="s">
        <v>590</v>
      </c>
      <c r="P7" s="172" t="s">
        <v>45</v>
      </c>
      <c r="Q7" s="177" t="s">
        <v>23</v>
      </c>
      <c r="R7" s="178"/>
      <c r="S7" s="178"/>
      <c r="T7" s="179"/>
      <c r="U7" s="198" t="s">
        <v>563</v>
      </c>
      <c r="V7" s="199"/>
      <c r="W7" s="199"/>
      <c r="X7" s="199"/>
      <c r="Y7" s="200"/>
      <c r="Z7" s="172" t="s">
        <v>564</v>
      </c>
      <c r="AA7" s="172" t="s">
        <v>46</v>
      </c>
      <c r="AB7" s="171" t="s">
        <v>47</v>
      </c>
      <c r="AC7" s="171" t="s">
        <v>48</v>
      </c>
      <c r="AD7" s="181" t="s">
        <v>587</v>
      </c>
      <c r="AE7" s="181" t="s">
        <v>54</v>
      </c>
      <c r="AF7" s="180" t="s">
        <v>581</v>
      </c>
      <c r="AG7" s="171" t="s">
        <v>567</v>
      </c>
      <c r="AH7" s="171" t="s">
        <v>65</v>
      </c>
      <c r="AI7" s="171" t="s">
        <v>56</v>
      </c>
      <c r="AJ7" s="137" t="s">
        <v>24</v>
      </c>
      <c r="AK7" s="138" t="s">
        <v>52</v>
      </c>
      <c r="AL7" s="138" t="s">
        <v>1</v>
      </c>
      <c r="AM7" s="138" t="s">
        <v>2</v>
      </c>
      <c r="AN7" s="138" t="s">
        <v>3</v>
      </c>
      <c r="AO7" s="138" t="s">
        <v>8</v>
      </c>
      <c r="AP7" s="138" t="s">
        <v>25</v>
      </c>
      <c r="AQ7" s="138" t="s">
        <v>67</v>
      </c>
      <c r="AR7" s="139" t="s">
        <v>26</v>
      </c>
    </row>
    <row r="8" spans="1:46" ht="131.25" customHeight="1" thickBot="1">
      <c r="A8" s="182"/>
      <c r="B8" s="194"/>
      <c r="C8" s="194"/>
      <c r="D8" s="70" t="s">
        <v>16</v>
      </c>
      <c r="E8" s="70" t="s">
        <v>15</v>
      </c>
      <c r="F8" s="70" t="s">
        <v>13</v>
      </c>
      <c r="G8" s="70" t="s">
        <v>18</v>
      </c>
      <c r="H8" s="113" t="s">
        <v>588</v>
      </c>
      <c r="I8" s="108" t="s">
        <v>570</v>
      </c>
      <c r="J8" s="113" t="s">
        <v>569</v>
      </c>
      <c r="K8" s="108" t="s">
        <v>568</v>
      </c>
      <c r="L8" s="108" t="s">
        <v>583</v>
      </c>
      <c r="M8" s="108" t="s">
        <v>571</v>
      </c>
      <c r="N8" s="174"/>
      <c r="O8" s="176"/>
      <c r="P8" s="194"/>
      <c r="Q8" s="106" t="s">
        <v>44</v>
      </c>
      <c r="R8" s="106" t="s">
        <v>42</v>
      </c>
      <c r="S8" s="106" t="s">
        <v>566</v>
      </c>
      <c r="T8" s="107" t="s">
        <v>565</v>
      </c>
      <c r="U8" s="104" t="s">
        <v>57</v>
      </c>
      <c r="V8" s="104" t="s">
        <v>55</v>
      </c>
      <c r="W8" s="104" t="s">
        <v>579</v>
      </c>
      <c r="X8" s="105" t="s">
        <v>565</v>
      </c>
      <c r="Y8" s="105" t="s">
        <v>577</v>
      </c>
      <c r="Z8" s="173"/>
      <c r="AA8" s="173"/>
      <c r="AB8" s="171"/>
      <c r="AC8" s="171"/>
      <c r="AD8" s="181"/>
      <c r="AE8" s="181"/>
      <c r="AF8" s="180"/>
      <c r="AG8" s="171"/>
      <c r="AH8" s="171"/>
      <c r="AI8" s="171"/>
      <c r="AJ8" s="133">
        <v>2340000</v>
      </c>
      <c r="AK8" s="134">
        <f>AJ8*20</f>
        <v>46800000</v>
      </c>
      <c r="AL8" s="135">
        <v>0.08</v>
      </c>
      <c r="AM8" s="135">
        <v>1.4999999999999999E-2</v>
      </c>
      <c r="AN8" s="135">
        <v>0.01</v>
      </c>
      <c r="AO8" s="135">
        <f>SUM(AL8:AN8)</f>
        <v>0.105</v>
      </c>
      <c r="AP8" s="134">
        <v>11000000</v>
      </c>
      <c r="AQ8" s="134">
        <v>4400000</v>
      </c>
      <c r="AR8" s="136">
        <v>0.1</v>
      </c>
    </row>
    <row r="9" spans="1:46" ht="38.25" customHeight="1" thickTop="1" thickBot="1">
      <c r="A9" s="27"/>
      <c r="B9" s="28"/>
      <c r="C9" s="27"/>
      <c r="D9" s="29"/>
      <c r="E9" s="30"/>
      <c r="F9" s="31" t="s">
        <v>4</v>
      </c>
      <c r="G9" s="31" t="s">
        <v>4</v>
      </c>
      <c r="H9" s="31" t="s">
        <v>4</v>
      </c>
      <c r="I9" s="31"/>
      <c r="J9" s="31" t="s">
        <v>4</v>
      </c>
      <c r="K9" s="31" t="s">
        <v>4</v>
      </c>
      <c r="L9" s="31"/>
      <c r="M9" s="31" t="s">
        <v>4</v>
      </c>
      <c r="N9" s="31" t="s">
        <v>4</v>
      </c>
      <c r="O9" s="31" t="s">
        <v>4</v>
      </c>
      <c r="P9" s="31" t="s">
        <v>4</v>
      </c>
      <c r="Q9" s="31" t="s">
        <v>4</v>
      </c>
      <c r="R9" s="31" t="s">
        <v>4</v>
      </c>
      <c r="S9" s="31" t="s">
        <v>4</v>
      </c>
      <c r="T9" s="31" t="s">
        <v>4</v>
      </c>
      <c r="U9" s="31" t="s">
        <v>4</v>
      </c>
      <c r="V9" s="31" t="s">
        <v>4</v>
      </c>
      <c r="W9" s="31" t="s">
        <v>4</v>
      </c>
      <c r="X9" s="31" t="s">
        <v>4</v>
      </c>
      <c r="Y9" s="31"/>
      <c r="Z9" s="31" t="s">
        <v>4</v>
      </c>
      <c r="AA9" s="31" t="s">
        <v>4</v>
      </c>
      <c r="AB9" s="31" t="s">
        <v>4</v>
      </c>
      <c r="AC9" s="31" t="s">
        <v>4</v>
      </c>
      <c r="AD9" s="31"/>
      <c r="AE9" s="31"/>
      <c r="AF9" s="31" t="s">
        <v>4</v>
      </c>
      <c r="AG9" s="31" t="s">
        <v>4</v>
      </c>
      <c r="AH9" s="31" t="s">
        <v>4</v>
      </c>
      <c r="AI9" s="31" t="s">
        <v>4</v>
      </c>
      <c r="AJ9" s="32"/>
      <c r="AK9" s="33"/>
      <c r="AL9" s="34"/>
      <c r="AM9" s="33"/>
      <c r="AN9" s="34"/>
      <c r="AS9" s="35"/>
    </row>
    <row r="10" spans="1:46" ht="34.5" customHeight="1" thickTop="1">
      <c r="A10" s="182" t="s">
        <v>41</v>
      </c>
      <c r="B10" s="183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81"/>
      <c r="AE10" s="36"/>
      <c r="AF10" s="90"/>
      <c r="AG10" s="36"/>
      <c r="AH10" s="36"/>
      <c r="AI10" s="142"/>
      <c r="AJ10" s="137" t="s">
        <v>66</v>
      </c>
      <c r="AK10" s="140" t="s">
        <v>53</v>
      </c>
      <c r="AL10" s="34"/>
      <c r="AM10" s="33"/>
      <c r="AN10" s="34"/>
      <c r="AS10" s="35"/>
    </row>
    <row r="11" spans="1:46" s="47" customFormat="1" ht="34.5" customHeight="1">
      <c r="A11" s="88">
        <v>2</v>
      </c>
      <c r="B11" s="97">
        <v>22</v>
      </c>
      <c r="C11" s="98" t="s">
        <v>68</v>
      </c>
      <c r="D11" s="37">
        <v>3</v>
      </c>
      <c r="E11" s="38" t="s">
        <v>61</v>
      </c>
      <c r="F11" s="40">
        <v>50000</v>
      </c>
      <c r="G11" s="40">
        <f t="shared" ref="G11:G12" si="0">ROUND($F11/$G$4*$B11,0)</f>
        <v>50000</v>
      </c>
      <c r="H11" s="40">
        <f t="shared" ref="H11:H12" si="1">ROUND(1200000/$G$4*$B11,0)</f>
        <v>1200000</v>
      </c>
      <c r="I11" s="40"/>
      <c r="J11" s="40">
        <f>ROUND(2000000/$G$4*$B11,0)</f>
        <v>2000000</v>
      </c>
      <c r="K11" s="40">
        <f>ROUND(2000000/$G$4*$B11,0)</f>
        <v>2000000</v>
      </c>
      <c r="L11" s="40">
        <v>2450000</v>
      </c>
      <c r="M11" s="40"/>
      <c r="N11" s="40"/>
      <c r="O11" s="99"/>
      <c r="P11" s="40">
        <f>F11</f>
        <v>50000</v>
      </c>
      <c r="Q11" s="42">
        <f t="shared" ref="Q11:Q12" si="2">ROUND($P11*8/100,0)</f>
        <v>4000</v>
      </c>
      <c r="R11" s="42">
        <f t="shared" ref="R11:R12" si="3">ROUND($P11*1.5/100,0)</f>
        <v>750</v>
      </c>
      <c r="S11" s="42">
        <f t="shared" ref="S11:S12" si="4">IF((F11+M11)&gt;106200000,(106200000*1/100),IF((F11+M11)&gt;46800000,ROUND((F11+M11)*1/100,0),ROUND((P11)*1/100,0)))</f>
        <v>500</v>
      </c>
      <c r="T11" s="43">
        <f t="shared" ref="T11:T12" si="5">ROUND(Q11+R11+S11,0)</f>
        <v>5250</v>
      </c>
      <c r="U11" s="42">
        <f t="shared" ref="U11:U12" si="6">ROUND($P11*17.5/100,0)</f>
        <v>8750</v>
      </c>
      <c r="V11" s="42">
        <f t="shared" ref="V11:V12" si="7">ROUND($P11*3/100,0)</f>
        <v>1500</v>
      </c>
      <c r="W11" s="42">
        <f t="shared" ref="W11:W12" si="8">IF(($F11+$M11)&gt;106200000,(106200000*1/100),IF(($F11+$M11)&gt;48600000,ROUND(($F11+$M11)*1/100,0),ROUND(($P11)*1/100,0)))</f>
        <v>500</v>
      </c>
      <c r="X11" s="43">
        <f t="shared" ref="X11:X12" si="9">ROUND(U11+V11+W11,0)</f>
        <v>10750</v>
      </c>
      <c r="Y11" s="42">
        <f t="shared" ref="Y11:Y12" si="10">ROUND($P11*2/100,0)</f>
        <v>1000</v>
      </c>
      <c r="Z11" s="43">
        <f t="shared" ref="Z11:Z12" si="11">G11+I11+K11+L11+M11+N11+O11</f>
        <v>4500000</v>
      </c>
      <c r="AA11" s="42">
        <f t="shared" ref="AA11:AA12" si="12">IF((Z11-T11-15500000-(6200000*D11))&gt;0,(Z11-T11-15500000-(6200000*D11)),0)</f>
        <v>0</v>
      </c>
      <c r="AB11" s="43">
        <f t="shared" ref="AB11:AB12" si="13">ROUND(IF(AA11&lt;0,0,IF(AA11&gt;100000000,AA11*0.35-14500000,IF(AA11&gt;60000000,AA11*0.3-9500000,IF(AA11&gt;30000000,AA11*0.2-3500000,IF(AA11&gt;10000000,AA11*0.1-500000,AA11*0.05))))),0)</f>
        <v>0</v>
      </c>
      <c r="AC11" s="43">
        <f t="shared" ref="AC11:AC12" si="14">ROUND(G11+H11+I11+J11+K11+L11+M11+N11+O11-T11-AB11,2)</f>
        <v>7694750</v>
      </c>
      <c r="AD11" s="82">
        <f t="shared" ref="AD11:AD12" si="15">IF((P11*0.5%)&gt;($AJ$8*10%),$AJ$8*10%,P11*0.5%)</f>
        <v>250</v>
      </c>
      <c r="AE11" s="75"/>
      <c r="AF11" s="91"/>
      <c r="AG11" s="95">
        <f t="shared" ref="AG11:AG12" si="16">+AC11+AF11-AD11+AE11</f>
        <v>7694500</v>
      </c>
      <c r="AH11" s="141"/>
      <c r="AI11" s="143">
        <f>AG11-AH11</f>
        <v>7694500</v>
      </c>
      <c r="AJ11" s="45"/>
      <c r="AK11" s="45"/>
      <c r="AL11" s="46"/>
      <c r="AS11" s="48"/>
      <c r="AT11" s="44"/>
    </row>
    <row r="12" spans="1:46" s="47" customFormat="1" ht="34.5" customHeight="1">
      <c r="A12" s="88">
        <v>3</v>
      </c>
      <c r="B12" s="97">
        <v>22</v>
      </c>
      <c r="C12" s="98" t="s">
        <v>69</v>
      </c>
      <c r="D12" s="37">
        <v>1</v>
      </c>
      <c r="E12" s="38" t="s">
        <v>580</v>
      </c>
      <c r="F12" s="40">
        <v>50000</v>
      </c>
      <c r="G12" s="40">
        <f t="shared" si="0"/>
        <v>50000</v>
      </c>
      <c r="H12" s="40">
        <f t="shared" si="1"/>
        <v>1200000</v>
      </c>
      <c r="I12" s="40"/>
      <c r="J12" s="40">
        <f>ROUND(1000000/$G$4*$B12,0)</f>
        <v>1000000</v>
      </c>
      <c r="K12" s="40">
        <f>ROUND(1000000/$G$4*$B12,0)</f>
        <v>1000000</v>
      </c>
      <c r="L12" s="40"/>
      <c r="M12" s="41"/>
      <c r="N12" s="40"/>
      <c r="O12" s="99"/>
      <c r="P12" s="154">
        <f t="shared" ref="P12" si="17">IF((F12+M12)&gt;$AK$8,$AK$8,(F12+M12))</f>
        <v>50000</v>
      </c>
      <c r="Q12" s="42">
        <f t="shared" si="2"/>
        <v>4000</v>
      </c>
      <c r="R12" s="42">
        <f t="shared" si="3"/>
        <v>750</v>
      </c>
      <c r="S12" s="42">
        <f t="shared" si="4"/>
        <v>500</v>
      </c>
      <c r="T12" s="43">
        <f t="shared" si="5"/>
        <v>5250</v>
      </c>
      <c r="U12" s="42">
        <f t="shared" si="6"/>
        <v>8750</v>
      </c>
      <c r="V12" s="42">
        <f t="shared" si="7"/>
        <v>1500</v>
      </c>
      <c r="W12" s="42">
        <f t="shared" si="8"/>
        <v>500</v>
      </c>
      <c r="X12" s="43">
        <f t="shared" si="9"/>
        <v>10750</v>
      </c>
      <c r="Y12" s="42">
        <f t="shared" si="10"/>
        <v>1000</v>
      </c>
      <c r="Z12" s="43">
        <f t="shared" si="11"/>
        <v>1050000</v>
      </c>
      <c r="AA12" s="42">
        <f t="shared" si="12"/>
        <v>0</v>
      </c>
      <c r="AB12" s="43">
        <f t="shared" si="13"/>
        <v>0</v>
      </c>
      <c r="AC12" s="43">
        <f t="shared" si="14"/>
        <v>3244750</v>
      </c>
      <c r="AD12" s="82">
        <f t="shared" si="15"/>
        <v>250</v>
      </c>
      <c r="AE12" s="75"/>
      <c r="AF12" s="91"/>
      <c r="AG12" s="95">
        <f t="shared" si="16"/>
        <v>3244500</v>
      </c>
      <c r="AH12" s="141"/>
      <c r="AI12" s="143">
        <f t="shared" ref="AI12" si="18">AG12-AH12</f>
        <v>3244500</v>
      </c>
      <c r="AJ12" s="45"/>
      <c r="AK12" s="45"/>
      <c r="AL12" s="46"/>
      <c r="AS12" s="48"/>
      <c r="AT12" s="44"/>
    </row>
    <row r="13" spans="1:46" s="149" customFormat="1" ht="29.25" customHeight="1">
      <c r="A13" s="195" t="s">
        <v>39</v>
      </c>
      <c r="B13" s="195"/>
      <c r="C13" s="195"/>
      <c r="D13" s="100">
        <f>SUM(D11:D12)</f>
        <v>4</v>
      </c>
      <c r="E13" s="100"/>
      <c r="F13" s="100">
        <f t="shared" ref="F13:AI13" si="19">SUM(F11:F12)</f>
        <v>100000</v>
      </c>
      <c r="G13" s="100">
        <f t="shared" si="19"/>
        <v>100000</v>
      </c>
      <c r="H13" s="100">
        <f t="shared" si="19"/>
        <v>2400000</v>
      </c>
      <c r="I13" s="100">
        <f t="shared" si="19"/>
        <v>0</v>
      </c>
      <c r="J13" s="100">
        <f t="shared" si="19"/>
        <v>3000000</v>
      </c>
      <c r="K13" s="100">
        <f t="shared" si="19"/>
        <v>3000000</v>
      </c>
      <c r="L13" s="100">
        <f t="shared" si="19"/>
        <v>2450000</v>
      </c>
      <c r="M13" s="100">
        <f t="shared" si="19"/>
        <v>0</v>
      </c>
      <c r="N13" s="100">
        <f t="shared" si="19"/>
        <v>0</v>
      </c>
      <c r="O13" s="100">
        <f t="shared" si="19"/>
        <v>0</v>
      </c>
      <c r="P13" s="100">
        <f t="shared" si="19"/>
        <v>100000</v>
      </c>
      <c r="Q13" s="100">
        <f t="shared" si="19"/>
        <v>8000</v>
      </c>
      <c r="R13" s="100">
        <f t="shared" si="19"/>
        <v>1500</v>
      </c>
      <c r="S13" s="100">
        <f t="shared" si="19"/>
        <v>1000</v>
      </c>
      <c r="T13" s="100">
        <f t="shared" si="19"/>
        <v>10500</v>
      </c>
      <c r="U13" s="100">
        <f t="shared" si="19"/>
        <v>17500</v>
      </c>
      <c r="V13" s="100">
        <f t="shared" si="19"/>
        <v>3000</v>
      </c>
      <c r="W13" s="100">
        <f t="shared" si="19"/>
        <v>1000</v>
      </c>
      <c r="X13" s="100">
        <f t="shared" si="19"/>
        <v>21500</v>
      </c>
      <c r="Y13" s="100">
        <f t="shared" si="19"/>
        <v>2000</v>
      </c>
      <c r="Z13" s="100">
        <f t="shared" si="19"/>
        <v>5550000</v>
      </c>
      <c r="AA13" s="100">
        <f t="shared" si="19"/>
        <v>0</v>
      </c>
      <c r="AB13" s="100">
        <f t="shared" si="19"/>
        <v>0</v>
      </c>
      <c r="AC13" s="100">
        <f t="shared" si="19"/>
        <v>10939500</v>
      </c>
      <c r="AD13" s="100">
        <f t="shared" si="19"/>
        <v>500</v>
      </c>
      <c r="AE13" s="100">
        <f t="shared" si="19"/>
        <v>0</v>
      </c>
      <c r="AF13" s="100">
        <f t="shared" si="19"/>
        <v>0</v>
      </c>
      <c r="AG13" s="100">
        <f t="shared" si="19"/>
        <v>10939000</v>
      </c>
      <c r="AH13" s="100">
        <f t="shared" si="19"/>
        <v>0</v>
      </c>
      <c r="AI13" s="100">
        <f t="shared" si="19"/>
        <v>10939000</v>
      </c>
      <c r="AJ13" s="152"/>
      <c r="AK13" s="153"/>
      <c r="AL13" s="153"/>
      <c r="AS13" s="148"/>
    </row>
    <row r="14" spans="1:46" s="47" customFormat="1" ht="35.25" customHeight="1">
      <c r="A14" s="191" t="s">
        <v>582</v>
      </c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77" t="s">
        <v>50</v>
      </c>
      <c r="AC14" s="49">
        <v>0.1</v>
      </c>
      <c r="AD14" s="79"/>
      <c r="AE14" s="79"/>
      <c r="AF14" s="46"/>
      <c r="AG14" s="44"/>
      <c r="AH14" s="44"/>
      <c r="AI14" s="44"/>
      <c r="AJ14" s="45"/>
      <c r="AL14" s="46"/>
    </row>
    <row r="15" spans="1:46" s="47" customFormat="1" ht="28.5" customHeight="1">
      <c r="A15" s="88">
        <v>35</v>
      </c>
      <c r="B15" s="97">
        <v>21</v>
      </c>
      <c r="C15" s="157" t="s">
        <v>586</v>
      </c>
      <c r="D15" s="37"/>
      <c r="E15" s="38" t="s">
        <v>584</v>
      </c>
      <c r="F15" s="40">
        <v>50000</v>
      </c>
      <c r="G15" s="144">
        <f t="shared" ref="G15" si="20">ROUND((F15/$G$4)*B15,0)</f>
        <v>47727</v>
      </c>
      <c r="H15" s="40"/>
      <c r="I15" s="40"/>
      <c r="J15" s="40"/>
      <c r="K15" s="40"/>
      <c r="L15" s="40"/>
      <c r="M15" s="39"/>
      <c r="N15" s="40"/>
      <c r="O15" s="99"/>
      <c r="P15" s="50"/>
      <c r="Q15" s="50"/>
      <c r="R15" s="50"/>
      <c r="S15" s="50"/>
      <c r="T15" s="51"/>
      <c r="U15" s="51"/>
      <c r="V15" s="51"/>
      <c r="W15" s="51"/>
      <c r="X15" s="51"/>
      <c r="Y15" s="51"/>
      <c r="Z15" s="43">
        <f t="shared" ref="Z15" si="21">G15+H15+J15+K15+M15+N15+O15</f>
        <v>47727</v>
      </c>
      <c r="AA15" s="42">
        <f t="shared" ref="AA15" si="22">G15+H15+J15+K15+M15+N15+O15</f>
        <v>47727</v>
      </c>
      <c r="AB15" s="14">
        <f>IF(AA15&lt;=2000000,0,AA15*$AC$14)</f>
        <v>0</v>
      </c>
      <c r="AC15" s="43">
        <f t="shared" ref="AC15" si="23">ROUND(G15+H15+I15+J15+K15+M15+N15+O15-T15-AB15,2)</f>
        <v>47727</v>
      </c>
      <c r="AD15" s="43"/>
      <c r="AE15" s="43"/>
      <c r="AF15" s="51"/>
      <c r="AG15" s="94">
        <f t="shared" ref="AG15" si="24">AC15+AF15</f>
        <v>47727</v>
      </c>
      <c r="AH15" s="141"/>
      <c r="AI15" s="143">
        <f t="shared" ref="AI15" si="25">AG15-AH15</f>
        <v>47727</v>
      </c>
      <c r="AJ15" s="45"/>
      <c r="AL15" s="46"/>
      <c r="AS15" s="48"/>
    </row>
    <row r="16" spans="1:46" s="149" customFormat="1" ht="30.75" customHeight="1">
      <c r="A16" s="186" t="s">
        <v>39</v>
      </c>
      <c r="B16" s="187"/>
      <c r="C16" s="188"/>
      <c r="D16" s="145"/>
      <c r="E16" s="145"/>
      <c r="F16" s="100">
        <f>SUM(F15:F15)</f>
        <v>50000</v>
      </c>
      <c r="G16" s="100">
        <f>SUM(G15:G15)</f>
        <v>47727</v>
      </c>
      <c r="H16" s="100">
        <f>SUM(H15:H15)</f>
        <v>0</v>
      </c>
      <c r="I16" s="100"/>
      <c r="J16" s="100">
        <f>SUM(J15:J15)</f>
        <v>0</v>
      </c>
      <c r="K16" s="100">
        <f>SUM(K15:K15)</f>
        <v>0</v>
      </c>
      <c r="L16" s="100"/>
      <c r="M16" s="100">
        <f t="shared" ref="M16:T16" si="26">SUM(M15:M15)</f>
        <v>0</v>
      </c>
      <c r="N16" s="100">
        <f t="shared" si="26"/>
        <v>0</v>
      </c>
      <c r="O16" s="101">
        <f t="shared" si="26"/>
        <v>0</v>
      </c>
      <c r="P16" s="100">
        <f t="shared" si="26"/>
        <v>0</v>
      </c>
      <c r="Q16" s="100">
        <f t="shared" si="26"/>
        <v>0</v>
      </c>
      <c r="R16" s="100">
        <f t="shared" si="26"/>
        <v>0</v>
      </c>
      <c r="S16" s="100">
        <f t="shared" si="26"/>
        <v>0</v>
      </c>
      <c r="T16" s="100">
        <f t="shared" si="26"/>
        <v>0</v>
      </c>
      <c r="U16" s="100"/>
      <c r="V16" s="100"/>
      <c r="W16" s="100"/>
      <c r="X16" s="100"/>
      <c r="Y16" s="100"/>
      <c r="Z16" s="100">
        <f>SUM(Z15:Z15)</f>
        <v>47727</v>
      </c>
      <c r="AA16" s="100">
        <f>SUM(AA15:AA15)</f>
        <v>47727</v>
      </c>
      <c r="AB16" s="100">
        <f>SUM(AB15:AB15)</f>
        <v>0</v>
      </c>
      <c r="AC16" s="100">
        <f>SUM(AC15:AC15)</f>
        <v>47727</v>
      </c>
      <c r="AD16" s="146"/>
      <c r="AE16" s="146"/>
      <c r="AF16" s="147"/>
      <c r="AG16" s="100">
        <f>SUM(AG15:AG15)</f>
        <v>47727</v>
      </c>
      <c r="AH16" s="100">
        <f>SUM(AH15:AH15)</f>
        <v>0</v>
      </c>
      <c r="AI16" s="100">
        <f>SUM(AI15:AI15)</f>
        <v>47727</v>
      </c>
      <c r="AJ16" s="148"/>
      <c r="AL16" s="150"/>
      <c r="AS16" s="151"/>
    </row>
    <row r="17" spans="1:45" s="47" customFormat="1" ht="13.5" customHeight="1">
      <c r="A17" s="189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80"/>
      <c r="AE17" s="80"/>
      <c r="AF17" s="46"/>
      <c r="AG17" s="44"/>
      <c r="AH17" s="44"/>
      <c r="AI17" s="44"/>
      <c r="AL17" s="46"/>
    </row>
    <row r="18" spans="1:45" s="47" customFormat="1" ht="30.75" customHeight="1">
      <c r="A18" s="185" t="s">
        <v>9</v>
      </c>
      <c r="B18" s="185"/>
      <c r="C18" s="185"/>
      <c r="D18" s="52">
        <f t="shared" ref="D18:AB18" si="27">D16+D13</f>
        <v>4</v>
      </c>
      <c r="E18" s="52">
        <f t="shared" si="27"/>
        <v>0</v>
      </c>
      <c r="F18" s="71">
        <f t="shared" si="27"/>
        <v>150000</v>
      </c>
      <c r="G18" s="71">
        <f t="shared" si="27"/>
        <v>147727</v>
      </c>
      <c r="H18" s="71">
        <f t="shared" si="27"/>
        <v>2400000</v>
      </c>
      <c r="I18" s="71">
        <f t="shared" si="27"/>
        <v>0</v>
      </c>
      <c r="J18" s="71">
        <f t="shared" si="27"/>
        <v>3000000</v>
      </c>
      <c r="K18" s="71">
        <f t="shared" si="27"/>
        <v>3000000</v>
      </c>
      <c r="L18" s="71">
        <f t="shared" si="27"/>
        <v>2450000</v>
      </c>
      <c r="M18" s="71">
        <f t="shared" si="27"/>
        <v>0</v>
      </c>
      <c r="N18" s="71">
        <f t="shared" si="27"/>
        <v>0</v>
      </c>
      <c r="O18" s="101">
        <f t="shared" si="27"/>
        <v>0</v>
      </c>
      <c r="P18" s="71">
        <f t="shared" si="27"/>
        <v>100000</v>
      </c>
      <c r="Q18" s="71">
        <f t="shared" si="27"/>
        <v>8000</v>
      </c>
      <c r="R18" s="71">
        <f t="shared" si="27"/>
        <v>1500</v>
      </c>
      <c r="S18" s="71">
        <f t="shared" si="27"/>
        <v>1000</v>
      </c>
      <c r="T18" s="71">
        <f t="shared" si="27"/>
        <v>10500</v>
      </c>
      <c r="U18" s="71">
        <f t="shared" si="27"/>
        <v>17500</v>
      </c>
      <c r="V18" s="71">
        <f t="shared" si="27"/>
        <v>3000</v>
      </c>
      <c r="W18" s="71">
        <f t="shared" si="27"/>
        <v>1000</v>
      </c>
      <c r="X18" s="71">
        <f t="shared" si="27"/>
        <v>21500</v>
      </c>
      <c r="Y18" s="71">
        <f t="shared" si="27"/>
        <v>2000</v>
      </c>
      <c r="Z18" s="71">
        <f t="shared" si="27"/>
        <v>5597727</v>
      </c>
      <c r="AA18" s="71">
        <f t="shared" si="27"/>
        <v>47727</v>
      </c>
      <c r="AB18" s="71">
        <f t="shared" si="27"/>
        <v>0</v>
      </c>
      <c r="AC18" s="71">
        <f>+AC13+AC16</f>
        <v>10987227</v>
      </c>
      <c r="AD18" s="71">
        <f>+AD13+AD16</f>
        <v>500</v>
      </c>
      <c r="AE18" s="71"/>
      <c r="AF18" s="71">
        <f>AF16+AF13</f>
        <v>0</v>
      </c>
      <c r="AG18" s="71">
        <f>+AG13+AG16</f>
        <v>10986727</v>
      </c>
      <c r="AH18" s="71">
        <f>+AH13+AH16</f>
        <v>0</v>
      </c>
      <c r="AI18" s="71">
        <f>+AI13+AI16</f>
        <v>10986727</v>
      </c>
      <c r="AS18" s="48"/>
    </row>
    <row r="19" spans="1:45" ht="15.75" customHeight="1">
      <c r="H19" s="53"/>
      <c r="I19" s="53"/>
      <c r="N19" s="53"/>
      <c r="O19" s="53"/>
      <c r="T19" s="54"/>
      <c r="U19" s="54"/>
      <c r="V19" s="54"/>
      <c r="W19" s="54"/>
      <c r="X19" s="54"/>
      <c r="Y19" s="54"/>
      <c r="AB19" s="55"/>
      <c r="AC19" s="55"/>
      <c r="AD19" s="55"/>
      <c r="AE19" s="55"/>
      <c r="AG19" s="55"/>
      <c r="AH19" s="55"/>
    </row>
    <row r="20" spans="1:45" ht="19.5" customHeight="1">
      <c r="C20" s="56"/>
      <c r="D20" s="57"/>
      <c r="E20" s="58"/>
      <c r="F20" s="59"/>
      <c r="G20" s="60"/>
      <c r="H20" s="60"/>
      <c r="I20" s="60"/>
      <c r="J20" s="60"/>
      <c r="K20" s="60"/>
      <c r="L20" s="60"/>
      <c r="M20" s="60"/>
      <c r="N20" s="155"/>
      <c r="O20" s="58"/>
      <c r="P20" s="54"/>
      <c r="Q20" s="184" t="s">
        <v>592</v>
      </c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58"/>
      <c r="AC20" s="158"/>
      <c r="AD20" s="158"/>
      <c r="AE20" s="158"/>
      <c r="AF20" s="159"/>
      <c r="AG20" s="158">
        <f>+T18+AB18+AC18</f>
        <v>10997727</v>
      </c>
      <c r="AH20" s="158"/>
      <c r="AI20" s="162"/>
      <c r="AJ20" s="162"/>
    </row>
    <row r="21" spans="1:45" ht="20.100000000000001" customHeight="1">
      <c r="C21" s="72" t="s">
        <v>19</v>
      </c>
      <c r="E21" s="61"/>
      <c r="F21" s="53"/>
      <c r="G21" s="62"/>
      <c r="H21" s="63"/>
      <c r="I21" s="63"/>
      <c r="J21" s="63"/>
      <c r="K21" s="63"/>
      <c r="L21" s="63"/>
      <c r="M21" s="63"/>
      <c r="N21" s="170" t="e">
        <f>+N18-#REF!-#REF!-2444443</f>
        <v>#REF!</v>
      </c>
      <c r="O21" s="63"/>
      <c r="P21" s="54"/>
      <c r="Q21" s="196" t="s">
        <v>21</v>
      </c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58"/>
      <c r="AC21" s="160" t="e">
        <f>+AI21-#REF!</f>
        <v>#REF!</v>
      </c>
      <c r="AD21" s="160"/>
      <c r="AE21" s="160"/>
      <c r="AF21" s="159"/>
      <c r="AG21" s="158">
        <f>AG18</f>
        <v>10986727</v>
      </c>
      <c r="AH21" s="158"/>
      <c r="AI21" s="158">
        <f>+AI13+AI16</f>
        <v>10986727</v>
      </c>
      <c r="AJ21" s="162"/>
    </row>
    <row r="22" spans="1:45" ht="20.100000000000001" customHeight="1">
      <c r="C22" s="72" t="s">
        <v>7</v>
      </c>
      <c r="G22" s="24"/>
      <c r="K22" s="53"/>
      <c r="L22" s="53"/>
      <c r="M22" s="53"/>
      <c r="N22" s="53"/>
      <c r="Q22" s="196" t="s">
        <v>22</v>
      </c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58"/>
      <c r="AC22" s="161"/>
      <c r="AD22" s="161"/>
      <c r="AE22" s="161"/>
      <c r="AF22" s="162"/>
      <c r="AG22" s="160"/>
      <c r="AH22" s="160"/>
      <c r="AI22" s="162"/>
      <c r="AJ22" s="162"/>
    </row>
    <row r="23" spans="1:45" ht="20.100000000000001" customHeight="1">
      <c r="F23" s="63"/>
      <c r="G23" s="62"/>
      <c r="H23" s="63"/>
      <c r="I23" s="63"/>
      <c r="J23" s="63"/>
      <c r="K23" s="63"/>
      <c r="L23" s="63"/>
      <c r="M23" s="63"/>
      <c r="N23" s="63"/>
      <c r="O23" s="63"/>
      <c r="P23" s="54"/>
      <c r="Q23" s="83"/>
      <c r="R23" s="83"/>
      <c r="S23" s="85"/>
      <c r="T23" s="84"/>
      <c r="U23" s="84"/>
      <c r="V23" s="84"/>
      <c r="W23" s="84"/>
      <c r="X23" s="84"/>
      <c r="Y23" s="84"/>
      <c r="Z23" s="102"/>
      <c r="AA23" s="103"/>
      <c r="AB23" s="158"/>
      <c r="AC23" s="160" t="e">
        <f>+AC21-N22</f>
        <v>#REF!</v>
      </c>
      <c r="AD23" s="163"/>
      <c r="AE23" s="163"/>
      <c r="AF23" s="162"/>
      <c r="AG23" s="158">
        <f>G18+H18+I18+K18+M18+N18++J18</f>
        <v>8547727</v>
      </c>
      <c r="AH23" s="158"/>
      <c r="AI23" s="162"/>
      <c r="AJ23" s="162"/>
    </row>
    <row r="24" spans="1:45">
      <c r="G24" s="24"/>
      <c r="Q24" s="85"/>
      <c r="R24" s="85"/>
      <c r="S24" s="85"/>
      <c r="T24" s="83"/>
      <c r="U24" s="83"/>
      <c r="V24" s="83"/>
      <c r="W24" s="83"/>
      <c r="X24" s="83"/>
      <c r="Y24" s="83"/>
      <c r="Z24" s="89"/>
      <c r="AA24" s="86"/>
      <c r="AB24" s="160"/>
      <c r="AC24" s="161"/>
      <c r="AD24" s="161"/>
      <c r="AE24" s="161"/>
      <c r="AF24" s="162"/>
      <c r="AG24" s="164">
        <f>G18+H18+I18+J18+K18+L18+M18+N18</f>
        <v>10997727</v>
      </c>
      <c r="AH24" s="168"/>
      <c r="AI24" s="162"/>
      <c r="AJ24" s="162"/>
    </row>
    <row r="25" spans="1:45">
      <c r="Q25" s="85"/>
      <c r="R25" s="85"/>
      <c r="S25" s="83"/>
      <c r="T25" s="85"/>
      <c r="U25" s="85"/>
      <c r="V25" s="85"/>
      <c r="W25" s="85"/>
      <c r="X25" s="85"/>
      <c r="Y25" s="85"/>
      <c r="Z25" s="83"/>
      <c r="AA25" s="87"/>
      <c r="AB25" s="162"/>
      <c r="AC25" s="165"/>
      <c r="AD25" s="165"/>
      <c r="AE25" s="165"/>
      <c r="AF25" s="162"/>
      <c r="AG25" s="166">
        <f>AG20-AG23</f>
        <v>2450000</v>
      </c>
      <c r="AH25" s="166"/>
      <c r="AI25" s="162"/>
      <c r="AJ25" s="162"/>
    </row>
    <row r="26" spans="1:45">
      <c r="Q26" s="85"/>
      <c r="R26" s="85"/>
      <c r="S26" s="85"/>
      <c r="T26" s="85"/>
      <c r="U26" s="85"/>
      <c r="V26" s="85"/>
      <c r="W26" s="85"/>
      <c r="X26" s="85"/>
      <c r="Y26" s="85"/>
      <c r="Z26" s="83"/>
      <c r="AA26" s="87"/>
      <c r="AB26" s="162"/>
      <c r="AC26" s="162"/>
      <c r="AD26" s="162"/>
      <c r="AE26" s="162"/>
      <c r="AF26" s="162"/>
      <c r="AG26" s="162"/>
      <c r="AH26" s="162"/>
      <c r="AI26" s="162"/>
      <c r="AJ26" s="162"/>
    </row>
    <row r="27" spans="1:45">
      <c r="C27" s="78" t="s">
        <v>51</v>
      </c>
      <c r="Q27" s="109"/>
      <c r="R27" s="109"/>
      <c r="S27" s="109"/>
      <c r="T27" s="109"/>
      <c r="U27" s="184" t="s">
        <v>62</v>
      </c>
      <c r="V27" s="184"/>
      <c r="W27" s="184"/>
      <c r="X27" s="109"/>
      <c r="Y27" s="109"/>
      <c r="Z27" s="109"/>
      <c r="AA27" s="109"/>
      <c r="AB27" s="162"/>
      <c r="AC27" s="162"/>
      <c r="AD27" s="162"/>
      <c r="AE27" s="162"/>
      <c r="AF27" s="162"/>
      <c r="AG27" s="158">
        <f>T18+AB18+AD18+AG21</f>
        <v>10997727</v>
      </c>
      <c r="AH27" s="162"/>
      <c r="AI27" s="162"/>
      <c r="AJ27" s="162"/>
    </row>
    <row r="28" spans="1:45">
      <c r="AB28" s="162"/>
      <c r="AC28" s="162"/>
      <c r="AD28" s="162"/>
      <c r="AE28" s="162"/>
      <c r="AF28" s="162"/>
      <c r="AG28" s="162"/>
      <c r="AH28" s="162"/>
      <c r="AI28" s="162"/>
      <c r="AJ28" s="162"/>
    </row>
    <row r="29" spans="1:45"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167"/>
      <c r="AC29" s="167"/>
      <c r="AD29" s="167"/>
      <c r="AE29" s="167"/>
      <c r="AF29" s="162"/>
      <c r="AG29" s="162"/>
      <c r="AH29" s="162"/>
      <c r="AI29" s="162"/>
      <c r="AJ29" s="162"/>
    </row>
    <row r="30" spans="1:45"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67"/>
      <c r="AC30" s="167"/>
      <c r="AD30" s="167"/>
      <c r="AE30" s="167"/>
      <c r="AF30" s="162"/>
      <c r="AG30" s="160">
        <f>+AG24-AG27</f>
        <v>0</v>
      </c>
      <c r="AH30" s="162"/>
      <c r="AI30" s="162"/>
      <c r="AJ30" s="162"/>
    </row>
    <row r="31" spans="1:45">
      <c r="AB31" s="162"/>
      <c r="AC31" s="162"/>
      <c r="AD31" s="162"/>
      <c r="AE31" s="162"/>
      <c r="AF31" s="162"/>
      <c r="AG31" s="162"/>
      <c r="AH31" s="162"/>
      <c r="AI31" s="162"/>
      <c r="AJ31" s="162"/>
    </row>
    <row r="32" spans="1:45">
      <c r="AB32" s="162"/>
      <c r="AC32" s="162"/>
      <c r="AD32" s="162"/>
      <c r="AE32" s="162"/>
      <c r="AF32" s="162"/>
      <c r="AG32" s="162"/>
      <c r="AH32" s="162"/>
      <c r="AI32" s="162"/>
      <c r="AJ32" s="162"/>
    </row>
    <row r="33" spans="28:36">
      <c r="AB33" s="162"/>
      <c r="AC33" s="162"/>
      <c r="AD33" s="162"/>
      <c r="AE33" s="162"/>
      <c r="AF33" s="162"/>
      <c r="AG33" s="162"/>
      <c r="AH33" s="162"/>
      <c r="AI33" s="162"/>
      <c r="AJ33" s="162"/>
    </row>
  </sheetData>
  <mergeCells count="31">
    <mergeCell ref="F3:AA3"/>
    <mergeCell ref="AB7:AB8"/>
    <mergeCell ref="C7:C8"/>
    <mergeCell ref="U7:Y7"/>
    <mergeCell ref="K4:P4"/>
    <mergeCell ref="P7:P8"/>
    <mergeCell ref="H7:M7"/>
    <mergeCell ref="A10:AC10"/>
    <mergeCell ref="U27:W27"/>
    <mergeCell ref="A18:C18"/>
    <mergeCell ref="A16:C16"/>
    <mergeCell ref="Z7:Z8"/>
    <mergeCell ref="A17:AC17"/>
    <mergeCell ref="A7:A8"/>
    <mergeCell ref="A14:AA14"/>
    <mergeCell ref="B7:B8"/>
    <mergeCell ref="A13:C13"/>
    <mergeCell ref="Q20:AA20"/>
    <mergeCell ref="Q21:AA21"/>
    <mergeCell ref="AC7:AC8"/>
    <mergeCell ref="Q22:AA22"/>
    <mergeCell ref="AH7:AH8"/>
    <mergeCell ref="AI7:AI8"/>
    <mergeCell ref="AG7:AG8"/>
    <mergeCell ref="AA7:AA8"/>
    <mergeCell ref="N7:N8"/>
    <mergeCell ref="O7:O8"/>
    <mergeCell ref="Q7:T7"/>
    <mergeCell ref="AF7:AF8"/>
    <mergeCell ref="AD7:AD8"/>
    <mergeCell ref="AE7:AE8"/>
  </mergeCells>
  <phoneticPr fontId="32" type="noConversion"/>
  <printOptions horizontalCentered="1"/>
  <pageMargins left="0" right="0" top="0.3" bottom="0.37" header="0.1" footer="0.1"/>
  <pageSetup paperSize="9" scale="39" pageOrder="overThenDown" orientation="landscape" r:id="rId1"/>
  <headerFooter>
    <oddFooter>&amp;L&amp;9&amp;F _ &amp;A&amp;RTrang: &amp;P /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9D74-F893-461B-9DEA-C77B6BFAC278}">
  <sheetPr codeName="Sheet2"/>
  <dimension ref="A1:T16"/>
  <sheetViews>
    <sheetView workbookViewId="0">
      <selection activeCell="E18" sqref="E18"/>
    </sheetView>
  </sheetViews>
  <sheetFormatPr defaultColWidth="9.109375" defaultRowHeight="15.6"/>
  <cols>
    <col min="1" max="1" width="3.33203125" style="1" bestFit="1" customWidth="1"/>
    <col min="2" max="2" width="25.5546875" style="5" customWidth="1"/>
    <col min="3" max="3" width="12.5546875" style="5" bestFit="1" customWidth="1"/>
    <col min="4" max="4" width="18.33203125" style="6" bestFit="1" customWidth="1"/>
    <col min="5" max="5" width="35" style="7" bestFit="1" customWidth="1"/>
    <col min="6" max="6" width="8.5546875" style="5" customWidth="1"/>
    <col min="7" max="7" width="13.6640625" style="5" customWidth="1"/>
    <col min="8" max="8" width="10.109375" style="1" customWidth="1"/>
    <col min="9" max="16384" width="9.109375" style="1"/>
  </cols>
  <sheetData>
    <row r="1" spans="1:20">
      <c r="B1" s="208" t="s">
        <v>28</v>
      </c>
      <c r="C1" s="208"/>
      <c r="D1" s="208"/>
      <c r="E1" s="208"/>
      <c r="F1" s="208"/>
      <c r="G1" s="208"/>
      <c r="H1" s="208"/>
    </row>
    <row r="2" spans="1:20" ht="20.25" customHeight="1">
      <c r="B2" s="207" t="str">
        <f>'Employee salary'!C1</f>
        <v>CTY TNHH SEALINK INTERNATIONAL</v>
      </c>
      <c r="C2" s="207"/>
      <c r="D2" s="207"/>
      <c r="E2" s="207"/>
      <c r="F2" s="207"/>
      <c r="G2" s="207"/>
      <c r="H2" s="207"/>
      <c r="I2" s="2"/>
      <c r="J2" s="2"/>
      <c r="K2" s="2"/>
      <c r="L2" s="2"/>
    </row>
    <row r="3" spans="1:20">
      <c r="B3" s="64"/>
      <c r="C3" s="64"/>
      <c r="D3" s="112" t="s">
        <v>6</v>
      </c>
      <c r="E3" s="112" t="str">
        <f>'Employee salary'!$Q$4&amp;" "&amp;'Employee salary'!$R$4</f>
        <v>05 2026</v>
      </c>
      <c r="F3" s="64"/>
      <c r="G3" s="64"/>
      <c r="H3" s="65"/>
    </row>
    <row r="4" spans="1:20">
      <c r="A4" s="209" t="s">
        <v>49</v>
      </c>
      <c r="B4" s="210" t="s">
        <v>29</v>
      </c>
      <c r="C4" s="66" t="s">
        <v>30</v>
      </c>
      <c r="D4" s="212" t="s">
        <v>31</v>
      </c>
      <c r="E4" s="210" t="s">
        <v>32</v>
      </c>
      <c r="F4" s="210" t="s">
        <v>33</v>
      </c>
      <c r="G4" s="206" t="s">
        <v>34</v>
      </c>
      <c r="H4" s="206"/>
    </row>
    <row r="5" spans="1:20">
      <c r="A5" s="209"/>
      <c r="B5" s="211"/>
      <c r="C5" s="74" t="s">
        <v>4</v>
      </c>
      <c r="D5" s="213"/>
      <c r="E5" s="211"/>
      <c r="F5" s="211"/>
      <c r="G5" s="206"/>
      <c r="H5" s="206"/>
    </row>
    <row r="6" spans="1:20" ht="18" customHeight="1">
      <c r="A6" s="1">
        <v>2</v>
      </c>
      <c r="B6" s="10" t="s">
        <v>68</v>
      </c>
      <c r="C6" s="169">
        <f>'Employee salary'!AI11</f>
        <v>7694500</v>
      </c>
      <c r="D6" s="67" t="s">
        <v>71</v>
      </c>
      <c r="E6" s="11" t="s">
        <v>72</v>
      </c>
      <c r="F6" s="111" t="s">
        <v>35</v>
      </c>
      <c r="G6" s="92" t="s">
        <v>576</v>
      </c>
      <c r="H6" s="93" t="str">
        <f t="shared" ref="H6:H7" si="0">$E$3</f>
        <v>05 2026</v>
      </c>
    </row>
    <row r="7" spans="1:20" ht="18" customHeight="1">
      <c r="A7" s="1">
        <v>3</v>
      </c>
      <c r="B7" s="12" t="s">
        <v>69</v>
      </c>
      <c r="C7" s="169">
        <f>'Employee salary'!AI12</f>
        <v>3244500</v>
      </c>
      <c r="D7" s="67" t="s">
        <v>574</v>
      </c>
      <c r="E7" s="11" t="s">
        <v>575</v>
      </c>
      <c r="F7" s="111" t="s">
        <v>35</v>
      </c>
      <c r="G7" s="92" t="s">
        <v>576</v>
      </c>
      <c r="H7" s="93" t="str">
        <f t="shared" si="0"/>
        <v>05 2026</v>
      </c>
    </row>
    <row r="8" spans="1:20" s="3" customFormat="1" ht="20.100000000000001" customHeight="1">
      <c r="B8" s="68"/>
      <c r="C8" s="96">
        <f>SUM(C6:C7)</f>
        <v>10939000</v>
      </c>
      <c r="D8" s="69"/>
      <c r="E8" s="205" t="str">
        <f>'Employee salary'!$Q$20</f>
        <v>TP.HCM, Ngày  25 tháng  05  năm 2026</v>
      </c>
      <c r="F8" s="205"/>
      <c r="G8" s="205"/>
      <c r="H8" s="205"/>
      <c r="R8" s="4"/>
      <c r="S8" s="4"/>
      <c r="T8" s="4"/>
    </row>
    <row r="9" spans="1:20" s="3" customFormat="1" ht="15">
      <c r="B9" s="68"/>
      <c r="C9" s="156"/>
      <c r="D9" s="68"/>
      <c r="E9" s="68"/>
      <c r="F9" s="73"/>
      <c r="G9" s="73"/>
      <c r="H9" s="73"/>
      <c r="R9" s="4"/>
      <c r="S9" s="4"/>
      <c r="T9" s="4"/>
    </row>
    <row r="10" spans="1:20">
      <c r="B10" s="202" t="s">
        <v>19</v>
      </c>
      <c r="C10" s="202"/>
      <c r="D10" s="204" t="s">
        <v>578</v>
      </c>
      <c r="E10" s="204"/>
      <c r="F10" s="202" t="s">
        <v>21</v>
      </c>
      <c r="G10" s="202"/>
      <c r="H10" s="202"/>
    </row>
    <row r="11" spans="1:20" ht="19.5" customHeight="1">
      <c r="B11" s="202" t="s">
        <v>7</v>
      </c>
      <c r="C11" s="202"/>
      <c r="D11" s="202" t="s">
        <v>20</v>
      </c>
      <c r="E11" s="202"/>
      <c r="F11" s="202" t="s">
        <v>22</v>
      </c>
      <c r="G11" s="202"/>
      <c r="H11" s="202"/>
    </row>
    <row r="12" spans="1:20">
      <c r="F12" s="8"/>
      <c r="G12" s="8"/>
      <c r="H12" s="9"/>
    </row>
    <row r="16" spans="1:20">
      <c r="B16" s="13"/>
      <c r="F16" s="203" t="s">
        <v>64</v>
      </c>
      <c r="G16" s="203"/>
      <c r="H16" s="203"/>
    </row>
  </sheetData>
  <mergeCells count="16">
    <mergeCell ref="E8:H8"/>
    <mergeCell ref="G4:H5"/>
    <mergeCell ref="B2:H2"/>
    <mergeCell ref="B1:H1"/>
    <mergeCell ref="A4:A5"/>
    <mergeCell ref="B4:B5"/>
    <mergeCell ref="D4:D5"/>
    <mergeCell ref="E4:E5"/>
    <mergeCell ref="F4:F5"/>
    <mergeCell ref="B10:C10"/>
    <mergeCell ref="B11:C11"/>
    <mergeCell ref="F16:H16"/>
    <mergeCell ref="F11:H11"/>
    <mergeCell ref="F10:H10"/>
    <mergeCell ref="D10:E10"/>
    <mergeCell ref="D11:E11"/>
  </mergeCells>
  <conditionalFormatting sqref="B6:B7 D6:G7">
    <cfRule type="expression" dxfId="1" priority="26" stopIfTrue="1">
      <formula>COUNTIF(#REF!,#REF!)&gt;1</formula>
    </cfRule>
  </conditionalFormatting>
  <conditionalFormatting sqref="G6:G7">
    <cfRule type="expression" dxfId="0" priority="76" stopIfTrue="1">
      <formula>COUNTIF(#REF!,#REF!)&gt;1</formula>
    </cfRule>
  </conditionalFormatting>
  <dataValidations count="1">
    <dataValidation type="textLength" operator="lessThanOrEqual" allowBlank="1" showErrorMessage="1" errorTitle="Input Error" error="Please input not more than 34 characters!" promptTitle="Payee Account No. (Mandatory)" prompt="Maximum length is 35 characters" sqref="D7" xr:uid="{5711E80F-C6ED-43AF-9D92-CEC3FF6F7693}">
      <formula1>34</formula1>
    </dataValidation>
  </dataValidations>
  <pageMargins left="0.34" right="0.22" top="0.3" bottom="0.2" header="0.2" footer="0.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9A19-74AE-42D5-B821-7B83422357C5}">
  <sheetPr codeName="Sheet3"/>
  <dimension ref="A1:K100"/>
  <sheetViews>
    <sheetView workbookViewId="0">
      <selection activeCell="D34" sqref="D34"/>
    </sheetView>
  </sheetViews>
  <sheetFormatPr defaultColWidth="14.44140625" defaultRowHeight="15" customHeight="1"/>
  <cols>
    <col min="1" max="1" width="5.33203125" style="116" customWidth="1"/>
    <col min="2" max="2" width="9.109375" style="116" customWidth="1"/>
    <col min="3" max="3" width="21.109375" style="116" customWidth="1"/>
    <col min="4" max="4" width="12.88671875" style="116" customWidth="1"/>
    <col min="5" max="5" width="12.5546875" style="116" customWidth="1"/>
    <col min="6" max="6" width="16.6640625" style="116" customWidth="1"/>
    <col min="7" max="7" width="25.6640625" style="116" customWidth="1"/>
    <col min="8" max="8" width="35.88671875" style="116" customWidth="1"/>
    <col min="9" max="9" width="17.33203125" style="116" customWidth="1"/>
    <col min="10" max="10" width="12" style="116" customWidth="1"/>
    <col min="11" max="11" width="15.6640625" style="116" customWidth="1"/>
    <col min="12" max="16384" width="14.44140625" style="116"/>
  </cols>
  <sheetData>
    <row r="1" spans="1:11" ht="30" customHeight="1">
      <c r="A1" s="115" t="s">
        <v>73</v>
      </c>
      <c r="B1" s="115" t="s">
        <v>74</v>
      </c>
      <c r="C1" s="115" t="s">
        <v>75</v>
      </c>
      <c r="D1" s="115" t="s">
        <v>76</v>
      </c>
      <c r="E1" s="115" t="s">
        <v>77</v>
      </c>
      <c r="F1" s="115" t="s">
        <v>78</v>
      </c>
      <c r="G1" s="115" t="s">
        <v>79</v>
      </c>
      <c r="H1" s="115" t="s">
        <v>80</v>
      </c>
      <c r="I1" s="115" t="s">
        <v>81</v>
      </c>
      <c r="J1" s="115" t="s">
        <v>82</v>
      </c>
      <c r="K1" s="115" t="s">
        <v>83</v>
      </c>
    </row>
    <row r="2" spans="1:11" ht="14.4">
      <c r="A2" s="117">
        <v>1</v>
      </c>
      <c r="B2" s="117"/>
      <c r="C2" s="118" t="s">
        <v>573</v>
      </c>
      <c r="D2" s="118"/>
      <c r="E2" s="118"/>
      <c r="F2" s="118"/>
      <c r="G2" s="119" t="s">
        <v>87</v>
      </c>
      <c r="H2" s="118" t="s">
        <v>84</v>
      </c>
      <c r="I2" s="118">
        <v>87578463</v>
      </c>
      <c r="J2" s="118" t="s">
        <v>85</v>
      </c>
      <c r="K2" s="120" t="s">
        <v>562</v>
      </c>
    </row>
    <row r="3" spans="1:11" ht="14.4">
      <c r="A3" s="117" t="s">
        <v>95</v>
      </c>
      <c r="B3" s="117"/>
      <c r="C3" s="118" t="s">
        <v>71</v>
      </c>
      <c r="D3" s="118"/>
      <c r="E3" s="118"/>
      <c r="F3" s="118"/>
      <c r="G3" s="119" t="s">
        <v>88</v>
      </c>
      <c r="H3" s="118" t="s">
        <v>84</v>
      </c>
      <c r="I3" s="118">
        <v>5820454.2699999996</v>
      </c>
      <c r="J3" s="118" t="s">
        <v>85</v>
      </c>
      <c r="K3" s="120" t="s">
        <v>562</v>
      </c>
    </row>
    <row r="4" spans="1:11" ht="14.4">
      <c r="A4" s="117" t="s">
        <v>98</v>
      </c>
      <c r="B4" s="117"/>
      <c r="C4" s="132" t="s">
        <v>574</v>
      </c>
      <c r="D4" s="118"/>
      <c r="E4" s="118"/>
      <c r="F4" s="118"/>
      <c r="G4" s="119" t="s">
        <v>559</v>
      </c>
      <c r="H4" s="118" t="s">
        <v>84</v>
      </c>
      <c r="I4" s="118">
        <v>4172727.6</v>
      </c>
      <c r="J4" s="118" t="s">
        <v>85</v>
      </c>
      <c r="K4" s="120" t="s">
        <v>562</v>
      </c>
    </row>
    <row r="5" spans="1:11" ht="14.4">
      <c r="A5" s="117" t="s">
        <v>101</v>
      </c>
      <c r="B5" s="117"/>
      <c r="C5" s="118" t="s">
        <v>560</v>
      </c>
      <c r="D5" s="118"/>
      <c r="E5" s="118"/>
      <c r="F5" s="118"/>
      <c r="G5" s="119" t="s">
        <v>561</v>
      </c>
      <c r="H5" s="118" t="s">
        <v>84</v>
      </c>
      <c r="I5" s="118">
        <v>6586363.7999999998</v>
      </c>
      <c r="J5" s="118" t="s">
        <v>85</v>
      </c>
      <c r="K5" s="120" t="s">
        <v>562</v>
      </c>
    </row>
    <row r="6" spans="1:11" ht="15.75" customHeight="1">
      <c r="A6" s="117"/>
      <c r="B6" s="117"/>
      <c r="C6" s="118"/>
      <c r="D6" s="118"/>
      <c r="E6" s="118"/>
      <c r="F6" s="118"/>
      <c r="G6" s="121"/>
      <c r="H6" s="118"/>
      <c r="I6" s="118"/>
      <c r="J6" s="118"/>
      <c r="K6" s="120"/>
    </row>
    <row r="7" spans="1:11" ht="15.75" customHeight="1">
      <c r="A7" s="117"/>
      <c r="B7" s="117"/>
      <c r="C7" s="118"/>
      <c r="D7" s="118"/>
      <c r="E7" s="118"/>
      <c r="F7" s="118"/>
      <c r="G7" s="122"/>
      <c r="H7" s="118"/>
      <c r="I7" s="118"/>
      <c r="J7" s="118"/>
      <c r="K7" s="120"/>
    </row>
    <row r="8" spans="1:11" ht="14.4">
      <c r="A8" s="117"/>
      <c r="B8" s="117"/>
      <c r="C8" s="118"/>
      <c r="D8" s="118"/>
      <c r="E8" s="118"/>
      <c r="F8" s="118"/>
      <c r="G8" s="119"/>
      <c r="H8" s="118"/>
      <c r="I8" s="118"/>
      <c r="J8" s="118"/>
      <c r="K8" s="120"/>
    </row>
    <row r="9" spans="1:11" ht="14.4">
      <c r="A9" s="117"/>
      <c r="B9" s="117"/>
      <c r="C9" s="118"/>
      <c r="D9" s="118"/>
      <c r="E9" s="118"/>
      <c r="F9" s="118"/>
      <c r="G9" s="119"/>
      <c r="H9" s="118"/>
      <c r="I9" s="118"/>
      <c r="J9" s="118"/>
      <c r="K9" s="120"/>
    </row>
    <row r="10" spans="1:11" ht="15.75" customHeight="1">
      <c r="A10" s="117"/>
      <c r="B10" s="117"/>
      <c r="C10" s="118"/>
      <c r="D10" s="118"/>
      <c r="E10" s="118"/>
      <c r="F10" s="118"/>
      <c r="G10" s="121"/>
      <c r="H10" s="118"/>
      <c r="I10" s="118"/>
      <c r="J10" s="118"/>
      <c r="K10" s="120"/>
    </row>
    <row r="11" spans="1:11" ht="15.75" customHeight="1">
      <c r="A11" s="117"/>
      <c r="B11" s="117"/>
      <c r="C11" s="118"/>
      <c r="D11" s="118"/>
      <c r="E11" s="118"/>
      <c r="F11" s="118"/>
      <c r="G11" s="121"/>
      <c r="H11" s="118"/>
      <c r="I11" s="118"/>
      <c r="J11" s="118"/>
      <c r="K11" s="120"/>
    </row>
    <row r="12" spans="1:11" ht="15.75" customHeight="1">
      <c r="A12" s="117"/>
      <c r="B12" s="117"/>
      <c r="C12" s="118"/>
      <c r="D12" s="118"/>
      <c r="E12" s="118"/>
      <c r="F12" s="118"/>
      <c r="G12" s="121"/>
      <c r="H12" s="118"/>
      <c r="I12" s="118"/>
      <c r="J12" s="118"/>
      <c r="K12" s="120"/>
    </row>
    <row r="13" spans="1:11" ht="15.75" customHeight="1">
      <c r="A13" s="117"/>
      <c r="B13" s="117"/>
      <c r="C13" s="118"/>
      <c r="D13" s="118"/>
      <c r="E13" s="118"/>
      <c r="F13" s="118"/>
      <c r="G13" s="121"/>
      <c r="H13" s="118"/>
      <c r="I13" s="118"/>
      <c r="J13" s="118"/>
      <c r="K13" s="120"/>
    </row>
    <row r="14" spans="1:11" ht="15.75" customHeight="1">
      <c r="A14" s="117"/>
      <c r="B14" s="117"/>
      <c r="C14" s="118"/>
      <c r="D14" s="118"/>
      <c r="E14" s="118"/>
      <c r="F14" s="118"/>
      <c r="G14" s="121"/>
      <c r="H14" s="118"/>
      <c r="I14" s="118"/>
      <c r="J14" s="118"/>
      <c r="K14" s="120"/>
    </row>
    <row r="15" spans="1:11" ht="14.4">
      <c r="A15" s="117"/>
      <c r="B15" s="117"/>
      <c r="C15" s="118"/>
      <c r="D15" s="118"/>
      <c r="E15" s="118"/>
      <c r="F15" s="118"/>
      <c r="G15" s="119"/>
      <c r="H15" s="118"/>
      <c r="I15" s="118"/>
      <c r="J15" s="118"/>
      <c r="K15" s="120"/>
    </row>
    <row r="16" spans="1:11" ht="14.4">
      <c r="A16" s="117"/>
      <c r="B16" s="117"/>
      <c r="C16" s="118"/>
      <c r="D16" s="118"/>
      <c r="E16" s="118"/>
      <c r="F16" s="118"/>
      <c r="G16" s="119"/>
      <c r="H16" s="118"/>
      <c r="I16" s="118"/>
      <c r="J16" s="118"/>
      <c r="K16" s="120"/>
    </row>
    <row r="17" spans="1:11" ht="14.4">
      <c r="A17" s="117"/>
      <c r="B17" s="117"/>
      <c r="C17" s="118"/>
      <c r="D17" s="118"/>
      <c r="E17" s="118"/>
      <c r="F17" s="118"/>
      <c r="G17" s="119"/>
      <c r="H17" s="118"/>
      <c r="I17" s="118"/>
      <c r="J17" s="118"/>
      <c r="K17" s="120"/>
    </row>
    <row r="18" spans="1:11" ht="14.4">
      <c r="A18" s="117"/>
      <c r="B18" s="117"/>
      <c r="C18" s="118"/>
      <c r="D18" s="118"/>
      <c r="E18" s="118"/>
      <c r="F18" s="118"/>
      <c r="G18" s="119"/>
      <c r="H18" s="118"/>
      <c r="I18" s="118"/>
      <c r="J18" s="118"/>
      <c r="K18" s="120"/>
    </row>
    <row r="19" spans="1:11" ht="14.4">
      <c r="A19" s="117"/>
      <c r="B19" s="117"/>
      <c r="C19" s="118"/>
      <c r="D19" s="118"/>
      <c r="E19" s="118"/>
      <c r="F19" s="118"/>
      <c r="G19" s="119"/>
      <c r="H19" s="118"/>
      <c r="I19" s="118"/>
      <c r="J19" s="118"/>
      <c r="K19" s="120"/>
    </row>
    <row r="20" spans="1:11" ht="14.4">
      <c r="A20" s="117"/>
      <c r="B20" s="117"/>
      <c r="C20" s="118"/>
      <c r="D20" s="118"/>
      <c r="E20" s="118"/>
      <c r="F20" s="118"/>
      <c r="G20" s="119"/>
      <c r="H20" s="118"/>
      <c r="I20" s="118"/>
      <c r="J20" s="118"/>
      <c r="K20" s="120"/>
    </row>
    <row r="21" spans="1:11" ht="15.75" customHeight="1">
      <c r="A21" s="117"/>
      <c r="B21" s="117"/>
      <c r="C21" s="118"/>
      <c r="D21" s="118"/>
      <c r="E21" s="118"/>
      <c r="F21" s="118"/>
      <c r="G21" s="119"/>
      <c r="H21" s="118"/>
      <c r="I21" s="118"/>
      <c r="J21" s="118"/>
      <c r="K21" s="120"/>
    </row>
    <row r="22" spans="1:11" ht="15.75" customHeight="1">
      <c r="A22" s="117"/>
      <c r="B22" s="117"/>
      <c r="C22" s="118"/>
      <c r="D22" s="118"/>
      <c r="E22" s="118"/>
      <c r="F22" s="118"/>
      <c r="G22" s="119"/>
      <c r="H22" s="118"/>
      <c r="I22" s="118"/>
      <c r="J22" s="118"/>
      <c r="K22" s="120"/>
    </row>
    <row r="23" spans="1:11" ht="15.75" customHeight="1">
      <c r="A23" s="117"/>
      <c r="B23" s="117"/>
      <c r="C23" s="118"/>
      <c r="D23" s="118"/>
      <c r="E23" s="118"/>
      <c r="F23" s="118"/>
      <c r="G23" s="119"/>
      <c r="H23" s="118"/>
      <c r="I23" s="118"/>
      <c r="J23" s="118"/>
      <c r="K23" s="120"/>
    </row>
    <row r="24" spans="1:11" ht="15.75" customHeight="1">
      <c r="A24" s="117"/>
      <c r="B24" s="117"/>
      <c r="C24" s="118"/>
      <c r="D24" s="118"/>
      <c r="E24" s="118"/>
      <c r="F24" s="118"/>
      <c r="G24" s="121"/>
      <c r="H24" s="118"/>
      <c r="I24" s="118"/>
      <c r="J24" s="118"/>
      <c r="K24" s="120"/>
    </row>
    <row r="25" spans="1:11" ht="15.75" customHeight="1">
      <c r="A25" s="117"/>
      <c r="B25" s="117"/>
      <c r="C25" s="118"/>
      <c r="D25" s="118"/>
      <c r="E25" s="118"/>
      <c r="F25" s="118"/>
      <c r="G25" s="119"/>
      <c r="H25" s="118"/>
      <c r="I25" s="118"/>
      <c r="J25" s="118"/>
      <c r="K25" s="120"/>
    </row>
    <row r="26" spans="1:11" ht="15.75" customHeight="1">
      <c r="A26" s="117"/>
      <c r="B26" s="117"/>
      <c r="C26" s="118"/>
      <c r="D26" s="118"/>
      <c r="E26" s="118"/>
      <c r="F26" s="118"/>
      <c r="G26" s="119"/>
      <c r="H26" s="118"/>
      <c r="I26" s="118"/>
      <c r="J26" s="118"/>
      <c r="K26" s="120"/>
    </row>
    <row r="27" spans="1:11" ht="15.75" customHeight="1">
      <c r="A27" s="117"/>
      <c r="B27" s="117"/>
      <c r="C27" s="118"/>
      <c r="D27" s="118"/>
      <c r="E27" s="118"/>
      <c r="F27" s="118"/>
      <c r="G27" s="119"/>
      <c r="H27" s="118"/>
      <c r="I27" s="118"/>
      <c r="J27" s="118"/>
      <c r="K27" s="120"/>
    </row>
    <row r="28" spans="1:11" ht="15.75" customHeight="1">
      <c r="A28" s="117"/>
      <c r="B28" s="117"/>
      <c r="C28" s="118"/>
      <c r="D28" s="118"/>
      <c r="E28" s="118"/>
      <c r="F28" s="118"/>
      <c r="G28" s="119"/>
      <c r="H28" s="118"/>
      <c r="I28" s="118"/>
      <c r="J28" s="118"/>
      <c r="K28" s="120"/>
    </row>
    <row r="29" spans="1:11" ht="15.75" customHeight="1">
      <c r="A29" s="117"/>
      <c r="B29" s="117"/>
      <c r="C29" s="118"/>
      <c r="D29" s="118"/>
      <c r="E29" s="118"/>
      <c r="F29" s="118"/>
      <c r="G29" s="119"/>
      <c r="H29" s="118"/>
      <c r="I29" s="118"/>
      <c r="J29" s="118"/>
      <c r="K29" s="120"/>
    </row>
    <row r="30" spans="1:11" ht="15.75" customHeight="1">
      <c r="A30" s="117"/>
      <c r="B30" s="117"/>
      <c r="C30" s="118"/>
      <c r="D30" s="118"/>
      <c r="E30" s="118"/>
      <c r="F30" s="118"/>
      <c r="G30" s="119"/>
      <c r="H30" s="118"/>
      <c r="I30" s="118"/>
      <c r="J30" s="118"/>
      <c r="K30" s="120"/>
    </row>
    <row r="31" spans="1:11" ht="15.75" customHeight="1">
      <c r="A31" s="117"/>
      <c r="B31" s="117"/>
      <c r="C31" s="118"/>
      <c r="D31" s="118"/>
      <c r="E31" s="118"/>
      <c r="F31" s="118"/>
      <c r="G31" s="119"/>
      <c r="H31" s="118"/>
      <c r="I31" s="118"/>
      <c r="J31" s="118"/>
      <c r="K31" s="120"/>
    </row>
    <row r="32" spans="1:11" ht="15.75" customHeight="1">
      <c r="A32" s="117"/>
      <c r="B32" s="117"/>
      <c r="C32" s="118"/>
      <c r="D32" s="118"/>
      <c r="E32" s="123"/>
      <c r="F32" s="123"/>
      <c r="G32" s="119"/>
      <c r="H32" s="118"/>
      <c r="I32" s="118"/>
      <c r="J32" s="118"/>
      <c r="K32" s="120"/>
    </row>
    <row r="33" spans="1:11" ht="15.75" customHeight="1">
      <c r="A33" s="117"/>
      <c r="B33" s="117"/>
      <c r="C33" s="118"/>
      <c r="D33" s="118"/>
      <c r="E33" s="123"/>
      <c r="F33" s="123"/>
      <c r="G33" s="119"/>
      <c r="H33" s="118"/>
      <c r="I33" s="118"/>
      <c r="J33" s="118"/>
      <c r="K33" s="120"/>
    </row>
    <row r="34" spans="1:11" ht="15.75" customHeight="1">
      <c r="A34" s="117"/>
      <c r="B34" s="117"/>
      <c r="C34" s="118"/>
      <c r="D34" s="118"/>
      <c r="E34" s="123"/>
      <c r="F34" s="123"/>
      <c r="G34" s="119"/>
      <c r="H34" s="118"/>
      <c r="I34" s="118"/>
      <c r="J34" s="118"/>
      <c r="K34" s="120"/>
    </row>
    <row r="35" spans="1:11" ht="15.75" customHeight="1">
      <c r="A35" s="117"/>
      <c r="B35" s="117"/>
      <c r="C35" s="118"/>
      <c r="D35" s="118"/>
      <c r="E35" s="123"/>
      <c r="F35" s="123"/>
      <c r="G35" s="119"/>
      <c r="H35" s="118"/>
      <c r="I35" s="118"/>
      <c r="J35" s="118"/>
      <c r="K35" s="120"/>
    </row>
    <row r="36" spans="1:11" ht="15.75" customHeight="1">
      <c r="A36" s="117"/>
      <c r="B36" s="117"/>
      <c r="C36" s="118"/>
      <c r="D36" s="118"/>
      <c r="E36" s="123"/>
      <c r="F36" s="123"/>
      <c r="G36" s="119"/>
      <c r="H36" s="118"/>
      <c r="I36" s="118"/>
      <c r="J36" s="118"/>
      <c r="K36" s="120"/>
    </row>
    <row r="37" spans="1:11" ht="15.75" customHeight="1">
      <c r="A37" s="117"/>
      <c r="B37" s="123"/>
      <c r="C37" s="118"/>
      <c r="D37" s="118"/>
      <c r="E37" s="123"/>
      <c r="F37" s="123"/>
      <c r="G37" s="119"/>
      <c r="H37" s="118"/>
      <c r="I37" s="118"/>
      <c r="J37" s="118"/>
      <c r="K37" s="120"/>
    </row>
    <row r="38" spans="1:11" ht="15.75" customHeight="1">
      <c r="A38" s="117"/>
      <c r="B38" s="123"/>
      <c r="C38" s="118"/>
      <c r="D38" s="118"/>
      <c r="E38" s="123"/>
      <c r="F38" s="123"/>
      <c r="G38" s="119"/>
      <c r="H38" s="118"/>
      <c r="I38" s="118"/>
      <c r="J38" s="118"/>
      <c r="K38" s="120"/>
    </row>
    <row r="39" spans="1:11" ht="15.75" customHeight="1">
      <c r="A39" s="117"/>
      <c r="B39" s="123"/>
      <c r="C39" s="118"/>
      <c r="D39" s="118"/>
      <c r="E39" s="123"/>
      <c r="F39" s="123"/>
      <c r="G39" s="119"/>
      <c r="H39" s="118"/>
      <c r="I39" s="118"/>
      <c r="J39" s="118"/>
      <c r="K39" s="120"/>
    </row>
    <row r="40" spans="1:11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</row>
    <row r="41" spans="1:1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</row>
    <row r="42" spans="1:11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</row>
    <row r="43" spans="1:11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</row>
    <row r="44" spans="1:11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</row>
    <row r="45" spans="1:11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</row>
    <row r="46" spans="1:11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</row>
    <row r="47" spans="1:11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</row>
    <row r="48" spans="1:11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</row>
    <row r="49" spans="1:11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</row>
    <row r="50" spans="1:11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</row>
    <row r="51" spans="1:1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</row>
    <row r="52" spans="1:11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</row>
    <row r="53" spans="1:11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</row>
    <row r="54" spans="1:11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</row>
    <row r="55" spans="1:11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</row>
    <row r="56" spans="1:11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</row>
    <row r="57" spans="1:11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</row>
    <row r="58" spans="1:11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</row>
    <row r="59" spans="1:11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</row>
    <row r="60" spans="1:11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</row>
    <row r="61" spans="1:1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</row>
    <row r="62" spans="1:11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</row>
    <row r="63" spans="1:11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</row>
    <row r="64" spans="1:11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</row>
    <row r="65" spans="1:11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</row>
    <row r="66" spans="1:11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</row>
    <row r="67" spans="1:11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</row>
    <row r="68" spans="1:11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</row>
    <row r="69" spans="1:11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</row>
    <row r="70" spans="1:11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</row>
    <row r="71" spans="1:1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</row>
    <row r="72" spans="1:11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</row>
    <row r="73" spans="1:11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</row>
    <row r="74" spans="1:11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</row>
    <row r="75" spans="1:11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</row>
    <row r="76" spans="1:11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</row>
    <row r="77" spans="1:11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</row>
    <row r="78" spans="1:11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</row>
    <row r="79" spans="1:11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</row>
    <row r="80" spans="1:11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</row>
    <row r="81" spans="1:1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</row>
    <row r="82" spans="1:11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</row>
    <row r="83" spans="1:11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</row>
    <row r="84" spans="1:11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</row>
    <row r="85" spans="1:11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</row>
    <row r="86" spans="1:11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</row>
    <row r="87" spans="1:11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</row>
    <row r="88" spans="1:11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</row>
    <row r="89" spans="1:11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</row>
    <row r="90" spans="1:11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</row>
    <row r="91" spans="1:1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</row>
    <row r="92" spans="1:11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</row>
    <row r="93" spans="1:11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</row>
    <row r="94" spans="1:11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</row>
    <row r="95" spans="1:11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</row>
    <row r="96" spans="1:11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</row>
    <row r="97" spans="1:11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</row>
    <row r="98" spans="1:11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</row>
    <row r="99" spans="1:11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</row>
    <row r="100" spans="1:11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</row>
  </sheetData>
  <dataValidations count="1">
    <dataValidation type="textLength" operator="lessThanOrEqual" allowBlank="1" showErrorMessage="1" errorTitle="Input Error" error="Please input not more than 34 characters!" promptTitle="Payee Account No. (Mandatory)" prompt="Maximum length is 35 characters" sqref="C4:C5" xr:uid="{9ED2F5D9-07D9-4D0A-97D6-BD77AA7992F2}">
      <formula1>34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AC2DC-5ABE-439B-A05B-CC9396A785AF}">
  <sheetPr codeName="Sheet4"/>
  <dimension ref="A1:D166"/>
  <sheetViews>
    <sheetView topLeftCell="A107" workbookViewId="0">
      <selection activeCell="C144" sqref="C144"/>
    </sheetView>
  </sheetViews>
  <sheetFormatPr defaultColWidth="8.88671875" defaultRowHeight="14.4"/>
  <cols>
    <col min="1" max="1" width="4.109375" style="131" bestFit="1" customWidth="1"/>
    <col min="2" max="2" width="11.6640625" style="127" bestFit="1" customWidth="1"/>
    <col min="3" max="3" width="84.5546875" style="127" customWidth="1"/>
    <col min="4" max="4" width="45.88671875" style="127" customWidth="1"/>
    <col min="5" max="16384" width="8.88671875" style="127"/>
  </cols>
  <sheetData>
    <row r="1" spans="1:4">
      <c r="A1" s="124" t="s">
        <v>89</v>
      </c>
      <c r="B1" s="125" t="s">
        <v>90</v>
      </c>
      <c r="C1" s="126" t="s">
        <v>91</v>
      </c>
    </row>
    <row r="2" spans="1:4">
      <c r="A2" s="128" t="s">
        <v>92</v>
      </c>
      <c r="B2" s="129" t="s">
        <v>93</v>
      </c>
      <c r="C2" s="129" t="s">
        <v>94</v>
      </c>
    </row>
    <row r="3" spans="1:4">
      <c r="A3" s="128" t="s">
        <v>95</v>
      </c>
      <c r="B3" s="129" t="s">
        <v>96</v>
      </c>
      <c r="C3" s="129" t="s">
        <v>97</v>
      </c>
    </row>
    <row r="4" spans="1:4">
      <c r="A4" s="128" t="s">
        <v>98</v>
      </c>
      <c r="B4" s="129" t="s">
        <v>99</v>
      </c>
      <c r="C4" s="129" t="s">
        <v>100</v>
      </c>
    </row>
    <row r="5" spans="1:4">
      <c r="A5" s="128" t="s">
        <v>101</v>
      </c>
      <c r="B5" s="129" t="s">
        <v>102</v>
      </c>
      <c r="C5" s="129" t="s">
        <v>103</v>
      </c>
    </row>
    <row r="6" spans="1:4">
      <c r="A6" s="128" t="s">
        <v>104</v>
      </c>
      <c r="B6" s="129" t="s">
        <v>105</v>
      </c>
      <c r="C6" s="129" t="s">
        <v>106</v>
      </c>
    </row>
    <row r="7" spans="1:4">
      <c r="A7" s="128" t="s">
        <v>107</v>
      </c>
      <c r="B7" s="129" t="s">
        <v>108</v>
      </c>
      <c r="C7" s="129" t="s">
        <v>109</v>
      </c>
    </row>
    <row r="8" spans="1:4">
      <c r="A8" s="128" t="s">
        <v>110</v>
      </c>
      <c r="B8" s="129" t="s">
        <v>111</v>
      </c>
      <c r="C8" s="129" t="s">
        <v>112</v>
      </c>
    </row>
    <row r="9" spans="1:4">
      <c r="A9" s="128" t="s">
        <v>113</v>
      </c>
      <c r="B9" s="129" t="s">
        <v>114</v>
      </c>
      <c r="C9" s="129" t="s">
        <v>115</v>
      </c>
    </row>
    <row r="10" spans="1:4">
      <c r="A10" s="128" t="s">
        <v>116</v>
      </c>
      <c r="B10" s="129" t="s">
        <v>117</v>
      </c>
      <c r="C10" s="129" t="s">
        <v>118</v>
      </c>
    </row>
    <row r="11" spans="1:4">
      <c r="A11" s="128" t="s">
        <v>119</v>
      </c>
      <c r="B11" s="129" t="s">
        <v>120</v>
      </c>
      <c r="C11" s="129" t="s">
        <v>121</v>
      </c>
    </row>
    <row r="12" spans="1:4">
      <c r="A12" s="128" t="s">
        <v>122</v>
      </c>
      <c r="B12" s="129" t="s">
        <v>123</v>
      </c>
      <c r="C12" s="129" t="s">
        <v>124</v>
      </c>
    </row>
    <row r="13" spans="1:4">
      <c r="A13" s="128" t="s">
        <v>125</v>
      </c>
      <c r="B13" s="129" t="s">
        <v>126</v>
      </c>
      <c r="C13" s="129" t="s">
        <v>127</v>
      </c>
    </row>
    <row r="14" spans="1:4">
      <c r="A14" s="128" t="s">
        <v>128</v>
      </c>
      <c r="B14" s="129" t="s">
        <v>129</v>
      </c>
      <c r="C14" s="129" t="s">
        <v>130</v>
      </c>
      <c r="D14" s="130"/>
    </row>
    <row r="15" spans="1:4">
      <c r="A15" s="128" t="s">
        <v>131</v>
      </c>
      <c r="B15" s="129" t="s">
        <v>132</v>
      </c>
      <c r="C15" s="129" t="s">
        <v>133</v>
      </c>
    </row>
    <row r="16" spans="1:4">
      <c r="A16" s="128" t="s">
        <v>134</v>
      </c>
      <c r="B16" s="129" t="s">
        <v>135</v>
      </c>
      <c r="C16" s="129" t="s">
        <v>136</v>
      </c>
    </row>
    <row r="17" spans="1:3">
      <c r="A17" s="128" t="s">
        <v>137</v>
      </c>
      <c r="B17" s="129" t="s">
        <v>138</v>
      </c>
      <c r="C17" s="129" t="s">
        <v>139</v>
      </c>
    </row>
    <row r="18" spans="1:3">
      <c r="A18" s="128" t="s">
        <v>140</v>
      </c>
      <c r="B18" s="129" t="s">
        <v>141</v>
      </c>
      <c r="C18" s="129" t="s">
        <v>142</v>
      </c>
    </row>
    <row r="19" spans="1:3">
      <c r="A19" s="128" t="s">
        <v>143</v>
      </c>
      <c r="B19" s="129" t="s">
        <v>144</v>
      </c>
      <c r="C19" s="129" t="s">
        <v>145</v>
      </c>
    </row>
    <row r="20" spans="1:3">
      <c r="A20" s="128" t="s">
        <v>146</v>
      </c>
      <c r="B20" s="129" t="s">
        <v>147</v>
      </c>
      <c r="C20" s="129" t="s">
        <v>148</v>
      </c>
    </row>
    <row r="21" spans="1:3">
      <c r="A21" s="128" t="s">
        <v>149</v>
      </c>
      <c r="B21" s="129" t="s">
        <v>150</v>
      </c>
      <c r="C21" s="129" t="s">
        <v>151</v>
      </c>
    </row>
    <row r="22" spans="1:3">
      <c r="A22" s="128" t="s">
        <v>152</v>
      </c>
      <c r="B22" s="129" t="s">
        <v>153</v>
      </c>
      <c r="C22" s="129" t="s">
        <v>154</v>
      </c>
    </row>
    <row r="23" spans="1:3">
      <c r="A23" s="128" t="s">
        <v>155</v>
      </c>
      <c r="B23" s="129" t="s">
        <v>156</v>
      </c>
      <c r="C23" s="129" t="s">
        <v>86</v>
      </c>
    </row>
    <row r="24" spans="1:3">
      <c r="A24" s="128" t="s">
        <v>157</v>
      </c>
      <c r="B24" s="129" t="s">
        <v>158</v>
      </c>
      <c r="C24" s="129" t="s">
        <v>159</v>
      </c>
    </row>
    <row r="25" spans="1:3">
      <c r="A25" s="128" t="s">
        <v>160</v>
      </c>
      <c r="B25" s="129" t="s">
        <v>161</v>
      </c>
      <c r="C25" s="129" t="s">
        <v>162</v>
      </c>
    </row>
    <row r="26" spans="1:3">
      <c r="A26" s="128" t="s">
        <v>163</v>
      </c>
      <c r="B26" s="129" t="s">
        <v>164</v>
      </c>
      <c r="C26" s="129" t="s">
        <v>165</v>
      </c>
    </row>
    <row r="27" spans="1:3">
      <c r="A27" s="128" t="s">
        <v>166</v>
      </c>
      <c r="B27" s="129" t="s">
        <v>167</v>
      </c>
      <c r="C27" s="129" t="s">
        <v>168</v>
      </c>
    </row>
    <row r="28" spans="1:3">
      <c r="A28" s="128" t="s">
        <v>169</v>
      </c>
      <c r="B28" s="129" t="s">
        <v>170</v>
      </c>
      <c r="C28" s="129" t="s">
        <v>171</v>
      </c>
    </row>
    <row r="29" spans="1:3">
      <c r="A29" s="128" t="s">
        <v>172</v>
      </c>
      <c r="B29" s="129" t="s">
        <v>173</v>
      </c>
      <c r="C29" s="129" t="s">
        <v>174</v>
      </c>
    </row>
    <row r="30" spans="1:3">
      <c r="A30" s="128" t="s">
        <v>175</v>
      </c>
      <c r="B30" s="129" t="s">
        <v>176</v>
      </c>
      <c r="C30" s="129" t="s">
        <v>177</v>
      </c>
    </row>
    <row r="31" spans="1:3">
      <c r="A31" s="128" t="s">
        <v>178</v>
      </c>
      <c r="B31" s="129" t="s">
        <v>179</v>
      </c>
      <c r="C31" s="129" t="s">
        <v>180</v>
      </c>
    </row>
    <row r="32" spans="1:3">
      <c r="A32" s="128" t="s">
        <v>181</v>
      </c>
      <c r="B32" s="129" t="s">
        <v>182</v>
      </c>
      <c r="C32" s="129" t="s">
        <v>183</v>
      </c>
    </row>
    <row r="33" spans="1:3">
      <c r="A33" s="128" t="s">
        <v>184</v>
      </c>
      <c r="B33" s="129" t="s">
        <v>185</v>
      </c>
      <c r="C33" s="129" t="s">
        <v>186</v>
      </c>
    </row>
    <row r="34" spans="1:3">
      <c r="A34" s="128" t="s">
        <v>187</v>
      </c>
      <c r="B34" s="129" t="s">
        <v>188</v>
      </c>
      <c r="C34" s="129" t="s">
        <v>189</v>
      </c>
    </row>
    <row r="35" spans="1:3">
      <c r="A35" s="128" t="s">
        <v>190</v>
      </c>
      <c r="B35" s="129" t="s">
        <v>191</v>
      </c>
      <c r="C35" s="129" t="s">
        <v>189</v>
      </c>
    </row>
    <row r="36" spans="1:3">
      <c r="A36" s="128" t="s">
        <v>192</v>
      </c>
      <c r="B36" s="129" t="s">
        <v>193</v>
      </c>
      <c r="C36" s="129" t="s">
        <v>194</v>
      </c>
    </row>
    <row r="37" spans="1:3">
      <c r="A37" s="128" t="s">
        <v>195</v>
      </c>
      <c r="B37" s="129" t="s">
        <v>196</v>
      </c>
      <c r="C37" s="129" t="s">
        <v>197</v>
      </c>
    </row>
    <row r="38" spans="1:3">
      <c r="A38" s="128" t="s">
        <v>198</v>
      </c>
      <c r="B38" s="129" t="s">
        <v>199</v>
      </c>
      <c r="C38" s="129" t="s">
        <v>200</v>
      </c>
    </row>
    <row r="39" spans="1:3">
      <c r="A39" s="128" t="s">
        <v>201</v>
      </c>
      <c r="B39" s="129" t="s">
        <v>202</v>
      </c>
      <c r="C39" s="129" t="s">
        <v>203</v>
      </c>
    </row>
    <row r="40" spans="1:3">
      <c r="A40" s="128" t="s">
        <v>204</v>
      </c>
      <c r="B40" s="129" t="s">
        <v>205</v>
      </c>
      <c r="C40" s="129" t="s">
        <v>206</v>
      </c>
    </row>
    <row r="41" spans="1:3">
      <c r="A41" s="128" t="s">
        <v>207</v>
      </c>
      <c r="B41" s="129" t="s">
        <v>208</v>
      </c>
      <c r="C41" s="129" t="s">
        <v>209</v>
      </c>
    </row>
    <row r="42" spans="1:3">
      <c r="A42" s="128" t="s">
        <v>210</v>
      </c>
      <c r="B42" s="129" t="s">
        <v>211</v>
      </c>
      <c r="C42" s="129" t="s">
        <v>212</v>
      </c>
    </row>
    <row r="43" spans="1:3">
      <c r="A43" s="128" t="s">
        <v>213</v>
      </c>
      <c r="B43" s="129" t="s">
        <v>214</v>
      </c>
      <c r="C43" s="129" t="s">
        <v>215</v>
      </c>
    </row>
    <row r="44" spans="1:3">
      <c r="A44" s="128" t="s">
        <v>216</v>
      </c>
      <c r="B44" s="129" t="s">
        <v>217</v>
      </c>
      <c r="C44" s="129" t="s">
        <v>218</v>
      </c>
    </row>
    <row r="45" spans="1:3">
      <c r="A45" s="128" t="s">
        <v>219</v>
      </c>
      <c r="B45" s="129" t="s">
        <v>220</v>
      </c>
      <c r="C45" s="129" t="s">
        <v>221</v>
      </c>
    </row>
    <row r="46" spans="1:3">
      <c r="A46" s="128" t="s">
        <v>222</v>
      </c>
      <c r="B46" s="129" t="s">
        <v>223</v>
      </c>
      <c r="C46" s="129" t="s">
        <v>224</v>
      </c>
    </row>
    <row r="47" spans="1:3">
      <c r="A47" s="128" t="s">
        <v>225</v>
      </c>
      <c r="B47" s="129" t="s">
        <v>226</v>
      </c>
      <c r="C47" s="129" t="s">
        <v>227</v>
      </c>
    </row>
    <row r="48" spans="1:3">
      <c r="A48" s="128" t="s">
        <v>228</v>
      </c>
      <c r="B48" s="129" t="s">
        <v>229</v>
      </c>
      <c r="C48" s="129" t="s">
        <v>230</v>
      </c>
    </row>
    <row r="49" spans="1:3">
      <c r="A49" s="128" t="s">
        <v>231</v>
      </c>
      <c r="B49" s="129" t="s">
        <v>232</v>
      </c>
      <c r="C49" s="129" t="s">
        <v>233</v>
      </c>
    </row>
    <row r="50" spans="1:3">
      <c r="A50" s="128" t="s">
        <v>234</v>
      </c>
      <c r="B50" s="129" t="s">
        <v>235</v>
      </c>
      <c r="C50" s="129" t="s">
        <v>236</v>
      </c>
    </row>
    <row r="51" spans="1:3">
      <c r="A51" s="128" t="s">
        <v>237</v>
      </c>
      <c r="B51" s="129" t="s">
        <v>238</v>
      </c>
      <c r="C51" s="129" t="s">
        <v>239</v>
      </c>
    </row>
    <row r="52" spans="1:3">
      <c r="A52" s="128" t="s">
        <v>240</v>
      </c>
      <c r="B52" s="129" t="s">
        <v>241</v>
      </c>
      <c r="C52" s="129" t="s">
        <v>242</v>
      </c>
    </row>
    <row r="53" spans="1:3">
      <c r="A53" s="128" t="s">
        <v>243</v>
      </c>
      <c r="B53" s="129" t="s">
        <v>244</v>
      </c>
      <c r="C53" s="129" t="s">
        <v>245</v>
      </c>
    </row>
    <row r="54" spans="1:3">
      <c r="A54" s="128" t="s">
        <v>246</v>
      </c>
      <c r="B54" s="129" t="s">
        <v>247</v>
      </c>
      <c r="C54" s="129" t="s">
        <v>248</v>
      </c>
    </row>
    <row r="55" spans="1:3">
      <c r="A55" s="128" t="s">
        <v>249</v>
      </c>
      <c r="B55" s="129" t="s">
        <v>250</v>
      </c>
      <c r="C55" s="129" t="s">
        <v>251</v>
      </c>
    </row>
    <row r="56" spans="1:3">
      <c r="A56" s="128" t="s">
        <v>252</v>
      </c>
      <c r="B56" s="129" t="s">
        <v>253</v>
      </c>
      <c r="C56" s="129" t="s">
        <v>254</v>
      </c>
    </row>
    <row r="57" spans="1:3">
      <c r="A57" s="128" t="s">
        <v>255</v>
      </c>
      <c r="B57" s="129" t="s">
        <v>256</v>
      </c>
      <c r="C57" s="129" t="s">
        <v>257</v>
      </c>
    </row>
    <row r="58" spans="1:3">
      <c r="A58" s="128" t="s">
        <v>258</v>
      </c>
      <c r="B58" s="129" t="s">
        <v>259</v>
      </c>
      <c r="C58" s="129" t="s">
        <v>260</v>
      </c>
    </row>
    <row r="59" spans="1:3">
      <c r="A59" s="128" t="s">
        <v>261</v>
      </c>
      <c r="B59" s="129" t="s">
        <v>262</v>
      </c>
      <c r="C59" s="129" t="s">
        <v>263</v>
      </c>
    </row>
    <row r="60" spans="1:3">
      <c r="A60" s="128" t="s">
        <v>264</v>
      </c>
      <c r="B60" s="129" t="s">
        <v>265</v>
      </c>
      <c r="C60" s="129" t="s">
        <v>266</v>
      </c>
    </row>
    <row r="61" spans="1:3">
      <c r="A61" s="128" t="s">
        <v>267</v>
      </c>
      <c r="B61" s="129" t="s">
        <v>268</v>
      </c>
      <c r="C61" s="129" t="s">
        <v>269</v>
      </c>
    </row>
    <row r="62" spans="1:3">
      <c r="A62" s="128" t="s">
        <v>270</v>
      </c>
      <c r="B62" s="129" t="s">
        <v>271</v>
      </c>
      <c r="C62" s="129" t="s">
        <v>272</v>
      </c>
    </row>
    <row r="63" spans="1:3">
      <c r="A63" s="128" t="s">
        <v>273</v>
      </c>
      <c r="B63" s="129" t="s">
        <v>274</v>
      </c>
      <c r="C63" s="129" t="s">
        <v>275</v>
      </c>
    </row>
    <row r="64" spans="1:3">
      <c r="A64" s="128" t="s">
        <v>276</v>
      </c>
      <c r="B64" s="129" t="s">
        <v>277</v>
      </c>
      <c r="C64" s="129" t="s">
        <v>278</v>
      </c>
    </row>
    <row r="65" spans="1:3">
      <c r="A65" s="128" t="s">
        <v>279</v>
      </c>
      <c r="B65" s="129" t="s">
        <v>280</v>
      </c>
      <c r="C65" s="129" t="s">
        <v>281</v>
      </c>
    </row>
    <row r="66" spans="1:3">
      <c r="A66" s="128" t="s">
        <v>282</v>
      </c>
      <c r="B66" s="129" t="s">
        <v>283</v>
      </c>
      <c r="C66" s="129" t="s">
        <v>284</v>
      </c>
    </row>
    <row r="67" spans="1:3">
      <c r="A67" s="128" t="s">
        <v>285</v>
      </c>
      <c r="B67" s="129" t="s">
        <v>286</v>
      </c>
      <c r="C67" s="129" t="s">
        <v>287</v>
      </c>
    </row>
    <row r="68" spans="1:3">
      <c r="A68" s="128" t="s">
        <v>288</v>
      </c>
      <c r="B68" s="129" t="s">
        <v>289</v>
      </c>
      <c r="C68" s="129" t="s">
        <v>290</v>
      </c>
    </row>
    <row r="69" spans="1:3">
      <c r="A69" s="128" t="s">
        <v>291</v>
      </c>
      <c r="B69" s="129" t="s">
        <v>292</v>
      </c>
      <c r="C69" s="129" t="s">
        <v>293</v>
      </c>
    </row>
    <row r="70" spans="1:3">
      <c r="A70" s="128" t="s">
        <v>294</v>
      </c>
      <c r="B70" s="129" t="s">
        <v>295</v>
      </c>
      <c r="C70" s="129" t="s">
        <v>296</v>
      </c>
    </row>
    <row r="71" spans="1:3">
      <c r="A71" s="128" t="s">
        <v>297</v>
      </c>
      <c r="B71" s="129" t="s">
        <v>298</v>
      </c>
      <c r="C71" s="129" t="s">
        <v>299</v>
      </c>
    </row>
    <row r="72" spans="1:3">
      <c r="A72" s="128" t="s">
        <v>300</v>
      </c>
      <c r="B72" s="129" t="s">
        <v>301</v>
      </c>
      <c r="C72" s="129" t="s">
        <v>302</v>
      </c>
    </row>
    <row r="73" spans="1:3">
      <c r="A73" s="128" t="s">
        <v>303</v>
      </c>
      <c r="B73" s="129" t="s">
        <v>304</v>
      </c>
      <c r="C73" s="129" t="s">
        <v>305</v>
      </c>
    </row>
    <row r="74" spans="1:3">
      <c r="A74" s="128" t="s">
        <v>306</v>
      </c>
      <c r="B74" s="129" t="s">
        <v>307</v>
      </c>
      <c r="C74" s="129" t="s">
        <v>308</v>
      </c>
    </row>
    <row r="75" spans="1:3">
      <c r="A75" s="128" t="s">
        <v>309</v>
      </c>
      <c r="B75" s="129" t="s">
        <v>310</v>
      </c>
      <c r="C75" s="129" t="s">
        <v>311</v>
      </c>
    </row>
    <row r="76" spans="1:3">
      <c r="A76" s="128" t="s">
        <v>312</v>
      </c>
      <c r="B76" s="129" t="s">
        <v>313</v>
      </c>
      <c r="C76" s="129" t="s">
        <v>314</v>
      </c>
    </row>
    <row r="77" spans="1:3">
      <c r="A77" s="128" t="s">
        <v>315</v>
      </c>
      <c r="B77" s="129" t="s">
        <v>316</v>
      </c>
      <c r="C77" s="129" t="s">
        <v>317</v>
      </c>
    </row>
    <row r="78" spans="1:3">
      <c r="A78" s="128" t="s">
        <v>318</v>
      </c>
      <c r="B78" s="129" t="s">
        <v>319</v>
      </c>
      <c r="C78" s="129" t="s">
        <v>320</v>
      </c>
    </row>
    <row r="79" spans="1:3">
      <c r="A79" s="128" t="s">
        <v>321</v>
      </c>
      <c r="B79" s="129" t="s">
        <v>322</v>
      </c>
      <c r="C79" s="129" t="s">
        <v>323</v>
      </c>
    </row>
    <row r="80" spans="1:3">
      <c r="A80" s="128" t="s">
        <v>324</v>
      </c>
      <c r="B80" s="129" t="s">
        <v>325</v>
      </c>
      <c r="C80" s="129" t="s">
        <v>326</v>
      </c>
    </row>
    <row r="81" spans="1:3">
      <c r="A81" s="128" t="s">
        <v>327</v>
      </c>
      <c r="B81" s="129" t="s">
        <v>328</v>
      </c>
      <c r="C81" s="129" t="s">
        <v>329</v>
      </c>
    </row>
    <row r="82" spans="1:3">
      <c r="A82" s="128" t="s">
        <v>330</v>
      </c>
      <c r="B82" s="129" t="s">
        <v>331</v>
      </c>
      <c r="C82" s="129" t="s">
        <v>332</v>
      </c>
    </row>
    <row r="83" spans="1:3">
      <c r="A83" s="128" t="s">
        <v>333</v>
      </c>
      <c r="B83" s="129" t="s">
        <v>334</v>
      </c>
      <c r="C83" s="129" t="s">
        <v>335</v>
      </c>
    </row>
    <row r="84" spans="1:3">
      <c r="A84" s="128" t="s">
        <v>336</v>
      </c>
      <c r="B84" s="129" t="s">
        <v>337</v>
      </c>
      <c r="C84" s="129" t="s">
        <v>338</v>
      </c>
    </row>
    <row r="85" spans="1:3">
      <c r="A85" s="128" t="s">
        <v>339</v>
      </c>
      <c r="B85" s="129" t="s">
        <v>340</v>
      </c>
      <c r="C85" s="129" t="s">
        <v>341</v>
      </c>
    </row>
    <row r="86" spans="1:3">
      <c r="A86" s="128" t="s">
        <v>342</v>
      </c>
      <c r="B86" s="129" t="s">
        <v>343</v>
      </c>
      <c r="C86" s="129" t="s">
        <v>344</v>
      </c>
    </row>
    <row r="87" spans="1:3">
      <c r="A87" s="128" t="s">
        <v>345</v>
      </c>
      <c r="B87" s="129" t="s">
        <v>346</v>
      </c>
      <c r="C87" s="129" t="s">
        <v>347</v>
      </c>
    </row>
    <row r="88" spans="1:3">
      <c r="A88" s="128" t="s">
        <v>348</v>
      </c>
      <c r="B88" s="129" t="s">
        <v>349</v>
      </c>
      <c r="C88" s="129" t="s">
        <v>350</v>
      </c>
    </row>
    <row r="89" spans="1:3">
      <c r="A89" s="128" t="s">
        <v>351</v>
      </c>
      <c r="B89" s="129" t="s">
        <v>352</v>
      </c>
      <c r="C89" s="129" t="s">
        <v>353</v>
      </c>
    </row>
    <row r="90" spans="1:3">
      <c r="A90" s="128" t="s">
        <v>354</v>
      </c>
      <c r="B90" s="129" t="s">
        <v>355</v>
      </c>
      <c r="C90" s="129" t="s">
        <v>356</v>
      </c>
    </row>
    <row r="91" spans="1:3">
      <c r="A91" s="128" t="s">
        <v>357</v>
      </c>
      <c r="B91" s="129" t="s">
        <v>358</v>
      </c>
      <c r="C91" s="129" t="s">
        <v>359</v>
      </c>
    </row>
    <row r="92" spans="1:3">
      <c r="A92" s="128" t="s">
        <v>360</v>
      </c>
      <c r="B92" s="129" t="s">
        <v>361</v>
      </c>
      <c r="C92" s="129" t="s">
        <v>362</v>
      </c>
    </row>
    <row r="93" spans="1:3">
      <c r="A93" s="128" t="s">
        <v>363</v>
      </c>
      <c r="B93" s="129" t="s">
        <v>364</v>
      </c>
      <c r="C93" s="129" t="s">
        <v>365</v>
      </c>
    </row>
    <row r="94" spans="1:3">
      <c r="A94" s="128" t="s">
        <v>366</v>
      </c>
      <c r="B94" s="129" t="s">
        <v>367</v>
      </c>
      <c r="C94" s="129" t="s">
        <v>365</v>
      </c>
    </row>
    <row r="95" spans="1:3">
      <c r="A95" s="128" t="s">
        <v>368</v>
      </c>
      <c r="B95" s="129" t="s">
        <v>369</v>
      </c>
      <c r="C95" s="129" t="s">
        <v>370</v>
      </c>
    </row>
    <row r="96" spans="1:3">
      <c r="A96" s="128" t="s">
        <v>371</v>
      </c>
      <c r="B96" s="129" t="s">
        <v>372</v>
      </c>
      <c r="C96" s="129" t="s">
        <v>373</v>
      </c>
    </row>
    <row r="97" spans="1:3">
      <c r="A97" s="128" t="s">
        <v>374</v>
      </c>
      <c r="B97" s="129" t="s">
        <v>375</v>
      </c>
      <c r="C97" s="129" t="s">
        <v>376</v>
      </c>
    </row>
    <row r="98" spans="1:3">
      <c r="A98" s="128" t="s">
        <v>377</v>
      </c>
      <c r="B98" s="129" t="s">
        <v>378</v>
      </c>
      <c r="C98" s="129" t="s">
        <v>379</v>
      </c>
    </row>
    <row r="99" spans="1:3">
      <c r="A99" s="128" t="s">
        <v>380</v>
      </c>
      <c r="B99" s="129" t="s">
        <v>381</v>
      </c>
      <c r="C99" s="129" t="s">
        <v>382</v>
      </c>
    </row>
    <row r="100" spans="1:3">
      <c r="A100" s="128" t="s">
        <v>383</v>
      </c>
      <c r="B100" s="129" t="s">
        <v>384</v>
      </c>
      <c r="C100" s="129" t="s">
        <v>382</v>
      </c>
    </row>
    <row r="101" spans="1:3">
      <c r="A101" s="128" t="s">
        <v>385</v>
      </c>
      <c r="B101" s="129" t="s">
        <v>386</v>
      </c>
      <c r="C101" s="129" t="s">
        <v>387</v>
      </c>
    </row>
    <row r="102" spans="1:3">
      <c r="A102" s="128" t="s">
        <v>388</v>
      </c>
      <c r="B102" s="129" t="s">
        <v>389</v>
      </c>
      <c r="C102" s="129" t="s">
        <v>390</v>
      </c>
    </row>
    <row r="103" spans="1:3">
      <c r="A103" s="128" t="s">
        <v>391</v>
      </c>
      <c r="B103" s="129" t="s">
        <v>392</v>
      </c>
      <c r="C103" s="129" t="s">
        <v>393</v>
      </c>
    </row>
    <row r="104" spans="1:3">
      <c r="A104" s="128" t="s">
        <v>394</v>
      </c>
      <c r="B104" s="129" t="s">
        <v>395</v>
      </c>
      <c r="C104" s="129" t="s">
        <v>396</v>
      </c>
    </row>
    <row r="105" spans="1:3">
      <c r="A105" s="128" t="s">
        <v>397</v>
      </c>
      <c r="B105" s="129" t="s">
        <v>398</v>
      </c>
      <c r="C105" s="129" t="s">
        <v>399</v>
      </c>
    </row>
    <row r="106" spans="1:3">
      <c r="A106" s="128" t="s">
        <v>400</v>
      </c>
      <c r="B106" s="129" t="s">
        <v>401</v>
      </c>
      <c r="C106" s="129" t="s">
        <v>402</v>
      </c>
    </row>
    <row r="107" spans="1:3">
      <c r="A107" s="128" t="s">
        <v>403</v>
      </c>
      <c r="B107" s="129" t="s">
        <v>404</v>
      </c>
      <c r="C107" s="129" t="s">
        <v>405</v>
      </c>
    </row>
    <row r="108" spans="1:3">
      <c r="A108" s="128" t="s">
        <v>406</v>
      </c>
      <c r="B108" s="129" t="s">
        <v>407</v>
      </c>
      <c r="C108" s="129" t="s">
        <v>408</v>
      </c>
    </row>
    <row r="109" spans="1:3">
      <c r="A109" s="128" t="s">
        <v>409</v>
      </c>
      <c r="B109" s="129" t="s">
        <v>410</v>
      </c>
      <c r="C109" s="129" t="s">
        <v>411</v>
      </c>
    </row>
    <row r="110" spans="1:3">
      <c r="A110" s="128" t="s">
        <v>412</v>
      </c>
      <c r="B110" s="129" t="s">
        <v>413</v>
      </c>
      <c r="C110" s="129" t="s">
        <v>414</v>
      </c>
    </row>
    <row r="111" spans="1:3">
      <c r="A111" s="128" t="s">
        <v>415</v>
      </c>
      <c r="B111" s="129" t="s">
        <v>416</v>
      </c>
      <c r="C111" s="129" t="s">
        <v>417</v>
      </c>
    </row>
    <row r="112" spans="1:3">
      <c r="A112" s="128" t="s">
        <v>418</v>
      </c>
      <c r="B112" s="129" t="s">
        <v>419</v>
      </c>
      <c r="C112" s="129" t="s">
        <v>420</v>
      </c>
    </row>
    <row r="113" spans="1:3">
      <c r="A113" s="128" t="s">
        <v>421</v>
      </c>
      <c r="B113" s="129" t="s">
        <v>422</v>
      </c>
      <c r="C113" s="129" t="s">
        <v>423</v>
      </c>
    </row>
    <row r="114" spans="1:3">
      <c r="A114" s="128" t="s">
        <v>424</v>
      </c>
      <c r="B114" s="129" t="s">
        <v>425</v>
      </c>
      <c r="C114" s="129" t="s">
        <v>426</v>
      </c>
    </row>
    <row r="115" spans="1:3">
      <c r="A115" s="128" t="s">
        <v>427</v>
      </c>
      <c r="B115" s="129" t="s">
        <v>343</v>
      </c>
      <c r="C115" s="129" t="s">
        <v>428</v>
      </c>
    </row>
    <row r="116" spans="1:3">
      <c r="A116" s="128" t="s">
        <v>429</v>
      </c>
      <c r="B116" s="129" t="s">
        <v>298</v>
      </c>
      <c r="C116" s="129" t="s">
        <v>430</v>
      </c>
    </row>
    <row r="117" spans="1:3">
      <c r="A117" s="128" t="s">
        <v>431</v>
      </c>
      <c r="B117" s="129" t="s">
        <v>105</v>
      </c>
      <c r="C117" s="129" t="s">
        <v>432</v>
      </c>
    </row>
    <row r="118" spans="1:3">
      <c r="A118" s="128" t="s">
        <v>433</v>
      </c>
      <c r="B118" s="129" t="s">
        <v>325</v>
      </c>
      <c r="C118" s="129" t="s">
        <v>434</v>
      </c>
    </row>
    <row r="119" spans="1:3">
      <c r="A119" s="128" t="s">
        <v>435</v>
      </c>
      <c r="B119" s="129" t="s">
        <v>108</v>
      </c>
      <c r="C119" s="129" t="s">
        <v>436</v>
      </c>
    </row>
    <row r="120" spans="1:3">
      <c r="A120" s="128" t="s">
        <v>437</v>
      </c>
      <c r="B120" s="129" t="s">
        <v>262</v>
      </c>
      <c r="C120" s="129" t="s">
        <v>438</v>
      </c>
    </row>
    <row r="121" spans="1:3">
      <c r="A121" s="128" t="s">
        <v>439</v>
      </c>
      <c r="B121" s="129" t="s">
        <v>440</v>
      </c>
      <c r="C121" s="129" t="s">
        <v>441</v>
      </c>
    </row>
    <row r="122" spans="1:3">
      <c r="A122" s="128" t="s">
        <v>442</v>
      </c>
      <c r="B122" s="129" t="s">
        <v>443</v>
      </c>
      <c r="C122" s="129" t="s">
        <v>444</v>
      </c>
    </row>
    <row r="123" spans="1:3">
      <c r="A123" s="128" t="s">
        <v>445</v>
      </c>
      <c r="B123" s="129" t="s">
        <v>446</v>
      </c>
      <c r="C123" s="129" t="s">
        <v>447</v>
      </c>
    </row>
    <row r="124" spans="1:3">
      <c r="A124" s="128" t="s">
        <v>448</v>
      </c>
      <c r="B124" s="129" t="s">
        <v>449</v>
      </c>
      <c r="C124" s="129" t="s">
        <v>450</v>
      </c>
    </row>
    <row r="125" spans="1:3">
      <c r="A125" s="128" t="s">
        <v>451</v>
      </c>
      <c r="B125" s="129" t="s">
        <v>96</v>
      </c>
      <c r="C125" s="129" t="s">
        <v>452</v>
      </c>
    </row>
    <row r="126" spans="1:3">
      <c r="A126" s="128" t="s">
        <v>453</v>
      </c>
      <c r="B126" s="129" t="s">
        <v>454</v>
      </c>
      <c r="C126" s="129" t="s">
        <v>455</v>
      </c>
    </row>
    <row r="127" spans="1:3">
      <c r="A127" s="128" t="s">
        <v>456</v>
      </c>
      <c r="B127" s="129" t="s">
        <v>238</v>
      </c>
      <c r="C127" s="129" t="s">
        <v>457</v>
      </c>
    </row>
    <row r="128" spans="1:3">
      <c r="A128" s="128" t="s">
        <v>458</v>
      </c>
      <c r="B128" s="129" t="s">
        <v>459</v>
      </c>
      <c r="C128" s="129" t="s">
        <v>460</v>
      </c>
    </row>
    <row r="129" spans="1:3">
      <c r="A129" s="128" t="s">
        <v>461</v>
      </c>
      <c r="B129" s="129" t="s">
        <v>462</v>
      </c>
      <c r="C129" s="129" t="s">
        <v>463</v>
      </c>
    </row>
    <row r="130" spans="1:3">
      <c r="A130" s="128" t="s">
        <v>464</v>
      </c>
      <c r="B130" s="129" t="s">
        <v>465</v>
      </c>
      <c r="C130" s="129" t="s">
        <v>466</v>
      </c>
    </row>
    <row r="131" spans="1:3">
      <c r="A131" s="128" t="s">
        <v>467</v>
      </c>
      <c r="B131" s="129" t="s">
        <v>468</v>
      </c>
      <c r="C131" s="129" t="s">
        <v>469</v>
      </c>
    </row>
    <row r="132" spans="1:3">
      <c r="A132" s="128" t="s">
        <v>470</v>
      </c>
      <c r="B132" s="129" t="s">
        <v>471</v>
      </c>
      <c r="C132" s="129" t="s">
        <v>472</v>
      </c>
    </row>
    <row r="133" spans="1:3">
      <c r="A133" s="128" t="s">
        <v>473</v>
      </c>
      <c r="B133" s="129" t="s">
        <v>474</v>
      </c>
      <c r="C133" s="129" t="s">
        <v>475</v>
      </c>
    </row>
    <row r="134" spans="1:3">
      <c r="A134" s="128" t="s">
        <v>476</v>
      </c>
      <c r="B134" s="129" t="s">
        <v>477</v>
      </c>
      <c r="C134" s="129" t="s">
        <v>478</v>
      </c>
    </row>
    <row r="135" spans="1:3">
      <c r="A135" s="128" t="s">
        <v>479</v>
      </c>
      <c r="B135" s="129" t="s">
        <v>331</v>
      </c>
      <c r="C135" s="129" t="s">
        <v>480</v>
      </c>
    </row>
    <row r="136" spans="1:3">
      <c r="A136" s="128" t="s">
        <v>481</v>
      </c>
      <c r="B136" s="129" t="s">
        <v>313</v>
      </c>
      <c r="C136" s="129" t="s">
        <v>482</v>
      </c>
    </row>
    <row r="137" spans="1:3">
      <c r="A137" s="128" t="s">
        <v>483</v>
      </c>
      <c r="B137" s="129" t="s">
        <v>191</v>
      </c>
      <c r="C137" s="129" t="s">
        <v>484</v>
      </c>
    </row>
    <row r="138" spans="1:3">
      <c r="A138" s="128" t="s">
        <v>485</v>
      </c>
      <c r="B138" s="129" t="s">
        <v>486</v>
      </c>
      <c r="C138" s="129" t="s">
        <v>487</v>
      </c>
    </row>
    <row r="139" spans="1:3">
      <c r="A139" s="128" t="s">
        <v>488</v>
      </c>
      <c r="B139" s="129" t="s">
        <v>489</v>
      </c>
      <c r="C139" s="129" t="s">
        <v>490</v>
      </c>
    </row>
    <row r="140" spans="1:3">
      <c r="A140" s="128" t="s">
        <v>491</v>
      </c>
      <c r="B140" s="129" t="s">
        <v>492</v>
      </c>
      <c r="C140" s="129" t="s">
        <v>493</v>
      </c>
    </row>
    <row r="141" spans="1:3">
      <c r="A141" s="128" t="s">
        <v>494</v>
      </c>
      <c r="B141" s="129" t="s">
        <v>340</v>
      </c>
      <c r="C141" s="129" t="s">
        <v>495</v>
      </c>
    </row>
    <row r="142" spans="1:3">
      <c r="A142" s="128" t="s">
        <v>496</v>
      </c>
      <c r="B142" s="129" t="s">
        <v>102</v>
      </c>
      <c r="C142" s="129" t="s">
        <v>103</v>
      </c>
    </row>
    <row r="143" spans="1:3">
      <c r="A143" s="128" t="s">
        <v>497</v>
      </c>
      <c r="B143" s="129" t="s">
        <v>337</v>
      </c>
      <c r="C143" s="129" t="s">
        <v>498</v>
      </c>
    </row>
    <row r="144" spans="1:3">
      <c r="A144" s="128" t="s">
        <v>499</v>
      </c>
      <c r="B144" s="129" t="s">
        <v>500</v>
      </c>
      <c r="C144" s="129" t="s">
        <v>501</v>
      </c>
    </row>
    <row r="145" spans="1:3">
      <c r="A145" s="128" t="s">
        <v>502</v>
      </c>
      <c r="B145" s="129" t="s">
        <v>93</v>
      </c>
      <c r="C145" s="129" t="s">
        <v>503</v>
      </c>
    </row>
    <row r="146" spans="1:3">
      <c r="A146" s="128" t="s">
        <v>504</v>
      </c>
      <c r="B146" s="129" t="s">
        <v>505</v>
      </c>
      <c r="C146" s="129" t="s">
        <v>506</v>
      </c>
    </row>
    <row r="147" spans="1:3">
      <c r="A147" s="128" t="s">
        <v>507</v>
      </c>
      <c r="B147" s="129" t="s">
        <v>277</v>
      </c>
      <c r="C147" s="129" t="s">
        <v>508</v>
      </c>
    </row>
    <row r="148" spans="1:3">
      <c r="A148" s="128" t="s">
        <v>509</v>
      </c>
      <c r="B148" s="129" t="s">
        <v>322</v>
      </c>
      <c r="C148" s="129" t="s">
        <v>510</v>
      </c>
    </row>
    <row r="149" spans="1:3">
      <c r="A149" s="128" t="s">
        <v>511</v>
      </c>
      <c r="B149" s="129" t="s">
        <v>164</v>
      </c>
      <c r="C149" s="129" t="s">
        <v>512</v>
      </c>
    </row>
    <row r="150" spans="1:3">
      <c r="A150" s="128" t="s">
        <v>513</v>
      </c>
      <c r="B150" s="129" t="s">
        <v>268</v>
      </c>
      <c r="C150" s="129" t="s">
        <v>514</v>
      </c>
    </row>
    <row r="151" spans="1:3">
      <c r="A151" s="128" t="s">
        <v>515</v>
      </c>
      <c r="B151" s="129" t="s">
        <v>188</v>
      </c>
      <c r="C151" s="129" t="s">
        <v>516</v>
      </c>
    </row>
    <row r="152" spans="1:3">
      <c r="A152" s="128" t="s">
        <v>517</v>
      </c>
      <c r="B152" s="129" t="s">
        <v>518</v>
      </c>
      <c r="C152" s="129" t="s">
        <v>519</v>
      </c>
    </row>
    <row r="153" spans="1:3">
      <c r="A153" s="128" t="s">
        <v>520</v>
      </c>
      <c r="B153" s="129" t="s">
        <v>202</v>
      </c>
      <c r="C153" s="129" t="s">
        <v>521</v>
      </c>
    </row>
    <row r="154" spans="1:3">
      <c r="A154" s="128" t="s">
        <v>522</v>
      </c>
      <c r="B154" s="129" t="s">
        <v>292</v>
      </c>
      <c r="C154" s="129" t="s">
        <v>523</v>
      </c>
    </row>
    <row r="155" spans="1:3">
      <c r="A155" s="128" t="s">
        <v>524</v>
      </c>
      <c r="B155" s="129" t="s">
        <v>235</v>
      </c>
      <c r="C155" s="129" t="s">
        <v>525</v>
      </c>
    </row>
    <row r="156" spans="1:3">
      <c r="A156" s="128" t="s">
        <v>526</v>
      </c>
      <c r="B156" s="129" t="s">
        <v>527</v>
      </c>
      <c r="C156" s="129" t="s">
        <v>528</v>
      </c>
    </row>
    <row r="157" spans="1:3">
      <c r="A157" s="128" t="s">
        <v>529</v>
      </c>
      <c r="B157" s="129" t="s">
        <v>530</v>
      </c>
      <c r="C157" s="129" t="s">
        <v>531</v>
      </c>
    </row>
    <row r="158" spans="1:3">
      <c r="A158" s="128" t="s">
        <v>532</v>
      </c>
      <c r="B158" s="129" t="s">
        <v>533</v>
      </c>
      <c r="C158" s="129" t="s">
        <v>534</v>
      </c>
    </row>
    <row r="159" spans="1:3">
      <c r="A159" s="128" t="s">
        <v>535</v>
      </c>
      <c r="B159" s="129" t="s">
        <v>536</v>
      </c>
      <c r="C159" s="129" t="s">
        <v>537</v>
      </c>
    </row>
    <row r="160" spans="1:3">
      <c r="A160" s="128" t="s">
        <v>538</v>
      </c>
      <c r="B160" s="129" t="s">
        <v>539</v>
      </c>
      <c r="C160" s="129" t="s">
        <v>540</v>
      </c>
    </row>
    <row r="161" spans="1:3">
      <c r="A161" s="128" t="s">
        <v>541</v>
      </c>
      <c r="B161" s="129" t="s">
        <v>542</v>
      </c>
      <c r="C161" s="129" t="s">
        <v>543</v>
      </c>
    </row>
    <row r="162" spans="1:3">
      <c r="A162" s="128" t="s">
        <v>544</v>
      </c>
      <c r="B162" s="129" t="s">
        <v>545</v>
      </c>
      <c r="C162" s="129" t="s">
        <v>546</v>
      </c>
    </row>
    <row r="163" spans="1:3">
      <c r="A163" s="128" t="s">
        <v>547</v>
      </c>
      <c r="B163" s="129" t="s">
        <v>548</v>
      </c>
      <c r="C163" s="129" t="s">
        <v>549</v>
      </c>
    </row>
    <row r="164" spans="1:3">
      <c r="A164" s="128" t="s">
        <v>550</v>
      </c>
      <c r="B164" s="129" t="s">
        <v>551</v>
      </c>
      <c r="C164" s="129" t="s">
        <v>552</v>
      </c>
    </row>
    <row r="165" spans="1:3">
      <c r="A165" s="128" t="s">
        <v>553</v>
      </c>
      <c r="B165" s="129" t="s">
        <v>554</v>
      </c>
      <c r="C165" s="129" t="s">
        <v>555</v>
      </c>
    </row>
    <row r="166" spans="1:3">
      <c r="A166" s="128" t="s">
        <v>556</v>
      </c>
      <c r="B166" s="129" t="s">
        <v>557</v>
      </c>
      <c r="C166" s="129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Employee salary</vt:lpstr>
      <vt:lpstr>Bank Transfer</vt:lpstr>
      <vt:lpstr>Sealink Transfer</vt:lpstr>
      <vt:lpstr>Bank list</vt:lpstr>
      <vt:lpstr>'Employee salary'!Print_Area</vt:lpstr>
      <vt:lpstr>'Employee salary'!Print_Titles</vt:lpstr>
    </vt:vector>
  </TitlesOfParts>
  <Company>Yurtec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Linh</dc:creator>
  <cp:lastModifiedBy>Nguyen Dat</cp:lastModifiedBy>
  <cp:lastPrinted>2025-11-10T07:42:13Z</cp:lastPrinted>
  <dcterms:created xsi:type="dcterms:W3CDTF">2011-05-30T07:54:24Z</dcterms:created>
  <dcterms:modified xsi:type="dcterms:W3CDTF">2026-06-08T07:15:50Z</dcterms:modified>
  <cp:contentStatus/>
</cp:coreProperties>
</file>